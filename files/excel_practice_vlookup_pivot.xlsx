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Customers" sheetId="2" state="visible" r:id="rId4"/>
    <sheet name="Products" sheetId="3" state="visible" r:id="rId5"/>
    <sheet name="Orders" sheetId="4" state="visible" r:id="rId6"/>
    <sheet name="Pivot_Practice" sheetId="5" state="visible" r:id="rId7"/>
    <sheet name="Answer_Ke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<sst xmlns="http://schemas.openxmlformats.org/spreadsheetml/2006/main" count="336" uniqueCount="101">
  <si>
    <t xml:space="preserve">Excel Practice: VLOOKUP + Pivot Tables</t>
  </si>
  <si>
    <t xml:space="preserve">This workbook simulates a typical Operations/Data Admin task: combining data from</t>
  </si>
  <si>
    <t xml:space="preserve">separate reference tables and summarizing it.</t>
  </si>
  <si>
    <t xml:space="preserve">TABS IN THIS WORKBOOK:</t>
  </si>
  <si>
    <t xml:space="preserve">  • Orders        - raw order data (needs VLOOKUP to complete columns G, H, I, J)</t>
  </si>
  <si>
    <t xml:space="preserve">  • Customers      - lookup table of customer info</t>
  </si>
  <si>
    <t xml:space="preserve">  • Products       - lookup table of product info</t>
  </si>
  <si>
    <t xml:space="preserve">  • Pivot_Practice - a flat copy of completed order data; build a Pivot Table here</t>
  </si>
  <si>
    <t xml:space="preserve">  • Answer_Key     - completed formulas + what your Pivot Table should show</t>
  </si>
  <si>
    <t xml:space="preserve">TASK 1 - VLOOKUP (do this in the 'Orders' tab):</t>
  </si>
  <si>
    <t xml:space="preserve">  1. In column G (CustomerName), use VLOOKUP to pull the matching customer name</t>
  </si>
  <si>
    <t xml:space="preserve">     from the Customers tab, based on the CustomerID in column B.</t>
  </si>
  <si>
    <t xml:space="preserve">  2. In column H (ProductName), use VLOOKUP to pull the matching product name</t>
  </si>
  <si>
    <t xml:space="preserve">     from the Products tab, based on the ProductID in column C.</t>
  </si>
  <si>
    <t xml:space="preserve">  3. In column I (UnitPrice), use VLOOKUP to pull the matching unit price</t>
  </si>
  <si>
    <t xml:space="preserve">  4. In column J (TotalSale), calculate Quantity x UnitPrice.</t>
  </si>
  <si>
    <t xml:space="preserve">  Hint for row 2: =VLOOKUP(B2, Customers!$A$2:$C$9, 2, FALSE)</t>
  </si>
  <si>
    <t xml:space="preserve">  The '2' means return the 2nd column of the Customers table (CustomerName).</t>
  </si>
  <si>
    <t xml:space="preserve">  FALSE means exact match only -- always use FALSE for ID lookups.</t>
  </si>
  <si>
    <t xml:space="preserve">TASK 2 - PIVOT TABLE (do this in the 'Pivot_Practice' tab, after finishing Task 1):</t>
  </si>
  <si>
    <t xml:space="preserve">  1. Select the data range in Pivot_Practice (A1 down to the last row).</t>
  </si>
  <si>
    <t xml:space="preserve">  2. Insert &gt; PivotTable.</t>
  </si>
  <si>
    <t xml:space="preserve">  3. Drag 'Region' to ROWS.</t>
  </si>
  <si>
    <t xml:space="preserve">  4. Drag 'Segment' to COLUMNS.</t>
  </si>
  <si>
    <t xml:space="preserve">  5. Drag 'TotalSale' to VALUES (set it to Sum, not Count).</t>
  </si>
  <si>
    <t xml:space="preserve">  6. This should produce a cross-tab of total sales by Region and Customer Segment.</t>
  </si>
  <si>
    <t xml:space="preserve">  Check your result against the 'Answer_Key' tab, which shows the expected</t>
  </si>
  <si>
    <t xml:space="preserve">  pivot summary numbers.</t>
  </si>
  <si>
    <t xml:space="preserve">Once you're comfortable, try changing a Quantity or UnitPrice value and confirm</t>
  </si>
  <si>
    <t xml:space="preserve">your VLOOKUP/TotalSale formulas and Pivot Table (after a Refresh) update correctly --</t>
  </si>
  <si>
    <t xml:space="preserve">that's the real test of whether your formulas are dynamic, not hardcoded.</t>
  </si>
  <si>
    <t xml:space="preserve">CustomerID</t>
  </si>
  <si>
    <t xml:space="preserve">CustomerName</t>
  </si>
  <si>
    <t xml:space="preserve">Segment</t>
  </si>
  <si>
    <t xml:space="preserve">C001</t>
  </si>
  <si>
    <t xml:space="preserve">Alden Manufacturing</t>
  </si>
  <si>
    <t xml:space="preserve">Enterprise</t>
  </si>
  <si>
    <t xml:space="preserve">C002</t>
  </si>
  <si>
    <t xml:space="preserve">Brightwave Retail</t>
  </si>
  <si>
    <t xml:space="preserve">SMB</t>
  </si>
  <si>
    <t xml:space="preserve">C003</t>
  </si>
  <si>
    <t xml:space="preserve">Coastal Logistics</t>
  </si>
  <si>
    <t xml:space="preserve">C004</t>
  </si>
  <si>
    <t xml:space="preserve">Delgado &amp; Sons</t>
  </si>
  <si>
    <t xml:space="preserve">C005</t>
  </si>
  <si>
    <t xml:space="preserve">Everline Foods</t>
  </si>
  <si>
    <t xml:space="preserve">Mid-Market</t>
  </si>
  <si>
    <t xml:space="preserve">C006</t>
  </si>
  <si>
    <t xml:space="preserve">Finch Hardware</t>
  </si>
  <si>
    <t xml:space="preserve">C007</t>
  </si>
  <si>
    <t xml:space="preserve">Garrison Textiles</t>
  </si>
  <si>
    <t xml:space="preserve">C008</t>
  </si>
  <si>
    <t xml:space="preserve">Harmon Electronics</t>
  </si>
  <si>
    <t xml:space="preserve">ProductID</t>
  </si>
  <si>
    <t xml:space="preserve">ProductName</t>
  </si>
  <si>
    <t xml:space="preserve">UnitPrice</t>
  </si>
  <si>
    <t xml:space="preserve">P100</t>
  </si>
  <si>
    <t xml:space="preserve">Shipping Labels (box)</t>
  </si>
  <si>
    <t xml:space="preserve">P101</t>
  </si>
  <si>
    <t xml:space="preserve">Packing Tape (roll)</t>
  </si>
  <si>
    <t xml:space="preserve">P102</t>
  </si>
  <si>
    <t xml:space="preserve">Warehouse Gloves (pair)</t>
  </si>
  <si>
    <t xml:space="preserve">P103</t>
  </si>
  <si>
    <t xml:space="preserve">Pallet Wrap (roll)</t>
  </si>
  <si>
    <t xml:space="preserve">P104</t>
  </si>
  <si>
    <t xml:space="preserve">Barcode Scanner</t>
  </si>
  <si>
    <t xml:space="preserve">P105</t>
  </si>
  <si>
    <t xml:space="preserve">Storage Bin (large)</t>
  </si>
  <si>
    <t xml:space="preserve">OrderID</t>
  </si>
  <si>
    <t xml:space="preserve">Quantity</t>
  </si>
  <si>
    <t xml:space="preserve">Region</t>
  </si>
  <si>
    <t xml:space="preserve">TotalSale</t>
  </si>
  <si>
    <t xml:space="preserve">O1001</t>
  </si>
  <si>
    <t xml:space="preserve">East</t>
  </si>
  <si>
    <t xml:space="preserve">O1002</t>
  </si>
  <si>
    <t xml:space="preserve">North</t>
  </si>
  <si>
    <t xml:space="preserve">O1003</t>
  </si>
  <si>
    <t xml:space="preserve">O1004</t>
  </si>
  <si>
    <t xml:space="preserve">South</t>
  </si>
  <si>
    <t xml:space="preserve">O1005</t>
  </si>
  <si>
    <t xml:space="preserve">West</t>
  </si>
  <si>
    <t xml:space="preserve">O1006</t>
  </si>
  <si>
    <t xml:space="preserve">O1007</t>
  </si>
  <si>
    <t xml:space="preserve">O1008</t>
  </si>
  <si>
    <t xml:space="preserve">O1009</t>
  </si>
  <si>
    <t xml:space="preserve">O1010</t>
  </si>
  <si>
    <t xml:space="preserve">O1011</t>
  </si>
  <si>
    <t xml:space="preserve">O1012</t>
  </si>
  <si>
    <t xml:space="preserve">O1013</t>
  </si>
  <si>
    <t xml:space="preserve">O1014</t>
  </si>
  <si>
    <t xml:space="preserve">O1015</t>
  </si>
  <si>
    <t xml:space="preserve">O1016</t>
  </si>
  <si>
    <t xml:space="preserve">O1017</t>
  </si>
  <si>
    <t xml:space="preserve">O1018</t>
  </si>
  <si>
    <t xml:space="preserve">O1019</t>
  </si>
  <si>
    <t xml:space="preserve">O1020</t>
  </si>
  <si>
    <t xml:space="preserve">Yellow cells = fill in with your own VLOOKUP / formula</t>
  </si>
  <si>
    <t xml:space="preserve">Answer Key - Task 1 (VLOOKUP formulas)</t>
  </si>
  <si>
    <t xml:space="preserve">Answer Key - Task 2 (Expected Pivot Table: Sum of TotalSale by Region x Segment)</t>
  </si>
  <si>
    <t xml:space="preserve">Grand Total</t>
  </si>
  <si>
    <t xml:space="preserve">Note: your exact numbers depend on your random practice data matching this key's data (seeded), so use this mainly to check your PROCESS -- that your Pivot Table is set up correctly (Region in Rows, Segment in Columns, Sum of TotalSale in Values).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</si>
</sst>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sz val="11"/>
      <color rgb="FF0061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13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2" t="s">
        <v>16</v>
      </c>
    </row>
    <row r="23" customFormat="false" ht="15" hidden="false" customHeight="false" outlineLevel="0" collapsed="false">
      <c r="A23" s="2" t="s">
        <v>17</v>
      </c>
    </row>
    <row r="24" customFormat="false" ht="15" hidden="false" customHeight="false" outlineLevel="0" collapsed="false">
      <c r="A24" s="2" t="s">
        <v>18</v>
      </c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3" t="s">
        <v>19</v>
      </c>
    </row>
    <row r="27" customFormat="false" ht="15" hidden="false" customHeight="false" outlineLevel="0" collapsed="false">
      <c r="A27" s="2" t="s">
        <v>20</v>
      </c>
    </row>
    <row r="28" customFormat="false" ht="15" hidden="false" customHeight="false" outlineLevel="0" collapsed="false">
      <c r="A28" s="2" t="s">
        <v>21</v>
      </c>
    </row>
    <row r="29" customFormat="false" ht="15" hidden="false" customHeight="false" outlineLevel="0" collapsed="false">
      <c r="A29" s="2" t="s">
        <v>22</v>
      </c>
    </row>
    <row r="30" customFormat="false" ht="15" hidden="false" customHeight="false" outlineLevel="0" collapsed="false">
      <c r="A30" s="2" t="s">
        <v>23</v>
      </c>
    </row>
    <row r="31" customFormat="false" ht="15" hidden="false" customHeight="false" outlineLevel="0" collapsed="false">
      <c r="A31" s="2" t="s">
        <v>24</v>
      </c>
    </row>
    <row r="32" customFormat="false" ht="15" hidden="false" customHeight="false" outlineLevel="0" collapsed="false">
      <c r="A32" s="2" t="s">
        <v>25</v>
      </c>
    </row>
    <row r="33" customFormat="false" ht="15" hidden="false" customHeight="false" outlineLevel="0" collapsed="false">
      <c r="A33" s="2"/>
    </row>
    <row r="34" customFormat="false" ht="15" hidden="false" customHeight="false" outlineLevel="0" collapsed="false">
      <c r="A34" s="2" t="s">
        <v>26</v>
      </c>
    </row>
    <row r="35" customFormat="false" ht="15" hidden="false" customHeight="false" outlineLevel="0" collapsed="false">
      <c r="A35" s="2" t="s">
        <v>27</v>
      </c>
    </row>
    <row r="36" customFormat="false" ht="15" hidden="false" customHeight="false" outlineLevel="0" collapsed="false">
      <c r="A36" s="2"/>
    </row>
    <row r="37" customFormat="false" ht="15" hidden="false" customHeight="false" outlineLevel="0" collapsed="false">
      <c r="A37" s="2" t="s">
        <v>28</v>
      </c>
    </row>
    <row r="38" customFormat="false" ht="15" hidden="false" customHeight="false" outlineLevel="0" collapsed="false">
      <c r="A38" s="2" t="s">
        <v>29</v>
      </c>
    </row>
    <row r="39" customFormat="false" ht="15" hidden="false" customHeight="false" outlineLevel="0" collapsed="false">
      <c r="A39" s="2" t="s">
        <v>30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4" t="s">
        <v>31</v>
      </c>
      <c r="B1" s="4" t="s">
        <v>32</v>
      </c>
      <c r="C1" s="4" t="s">
        <v>33</v>
      </c>
    </row>
    <row r="2" customFormat="false" ht="15" hidden="false" customHeight="false" outlineLevel="0" collapsed="false">
      <c r="A2" s="5" t="s">
        <v>34</v>
      </c>
      <c r="B2" s="5" t="s">
        <v>35</v>
      </c>
      <c r="C2" s="5" t="s">
        <v>36</v>
      </c>
    </row>
    <row r="3" customFormat="false" ht="15" hidden="false" customHeight="false" outlineLevel="0" collapsed="false">
      <c r="A3" s="5" t="s">
        <v>37</v>
      </c>
      <c r="B3" s="5" t="s">
        <v>38</v>
      </c>
      <c r="C3" s="5" t="s">
        <v>39</v>
      </c>
    </row>
    <row r="4" customFormat="false" ht="15" hidden="false" customHeight="false" outlineLevel="0" collapsed="false">
      <c r="A4" s="5" t="s">
        <v>40</v>
      </c>
      <c r="B4" s="5" t="s">
        <v>41</v>
      </c>
      <c r="C4" s="5" t="s">
        <v>36</v>
      </c>
    </row>
    <row r="5" customFormat="false" ht="15" hidden="false" customHeight="false" outlineLevel="0" collapsed="false">
      <c r="A5" s="5" t="s">
        <v>42</v>
      </c>
      <c r="B5" s="5" t="s">
        <v>43</v>
      </c>
      <c r="C5" s="5" t="s">
        <v>39</v>
      </c>
    </row>
    <row r="6" customFormat="false" ht="15" hidden="false" customHeight="false" outlineLevel="0" collapsed="false">
      <c r="A6" s="5" t="s">
        <v>44</v>
      </c>
      <c r="B6" s="5" t="s">
        <v>45</v>
      </c>
      <c r="C6" s="5" t="s">
        <v>46</v>
      </c>
    </row>
    <row r="7" customFormat="false" ht="15" hidden="false" customHeight="false" outlineLevel="0" collapsed="false">
      <c r="A7" s="5" t="s">
        <v>47</v>
      </c>
      <c r="B7" s="5" t="s">
        <v>48</v>
      </c>
      <c r="C7" s="5" t="s">
        <v>39</v>
      </c>
    </row>
    <row r="8" customFormat="false" ht="15" hidden="false" customHeight="false" outlineLevel="0" collapsed="false">
      <c r="A8" s="5" t="s">
        <v>49</v>
      </c>
      <c r="B8" s="5" t="s">
        <v>50</v>
      </c>
      <c r="C8" s="5" t="s">
        <v>46</v>
      </c>
    </row>
    <row r="9" customFormat="false" ht="15" hidden="false" customHeight="false" outlineLevel="0" collapsed="false">
      <c r="A9" s="5" t="s">
        <v>51</v>
      </c>
      <c r="B9" s="5" t="s">
        <v>52</v>
      </c>
      <c r="C9" s="5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4" t="s">
        <v>53</v>
      </c>
      <c r="B1" s="4" t="s">
        <v>54</v>
      </c>
      <c r="C1" s="4" t="s">
        <v>55</v>
      </c>
    </row>
    <row r="2" customFormat="false" ht="15" hidden="false" customHeight="false" outlineLevel="0" collapsed="false">
      <c r="A2" s="5" t="s">
        <v>56</v>
      </c>
      <c r="B2" s="5" t="s">
        <v>57</v>
      </c>
      <c r="C2" s="6" t="n">
        <v>12.5</v>
      </c>
    </row>
    <row r="3" customFormat="false" ht="15" hidden="false" customHeight="false" outlineLevel="0" collapsed="false">
      <c r="A3" s="5" t="s">
        <v>58</v>
      </c>
      <c r="B3" s="5" t="s">
        <v>59</v>
      </c>
      <c r="C3" s="6" t="n">
        <v>4.25</v>
      </c>
    </row>
    <row r="4" customFormat="false" ht="15" hidden="false" customHeight="false" outlineLevel="0" collapsed="false">
      <c r="A4" s="5" t="s">
        <v>60</v>
      </c>
      <c r="B4" s="5" t="s">
        <v>61</v>
      </c>
      <c r="C4" s="6" t="n">
        <v>7</v>
      </c>
    </row>
    <row r="5" customFormat="false" ht="15" hidden="false" customHeight="false" outlineLevel="0" collapsed="false">
      <c r="A5" s="5" t="s">
        <v>62</v>
      </c>
      <c r="B5" s="5" t="s">
        <v>63</v>
      </c>
      <c r="C5" s="6" t="n">
        <v>18.75</v>
      </c>
    </row>
    <row r="6" customFormat="false" ht="15" hidden="false" customHeight="false" outlineLevel="0" collapsed="false">
      <c r="A6" s="5" t="s">
        <v>64</v>
      </c>
      <c r="B6" s="5" t="s">
        <v>65</v>
      </c>
      <c r="C6" s="6" t="n">
        <v>95</v>
      </c>
    </row>
    <row r="7" customFormat="false" ht="15" hidden="false" customHeight="false" outlineLevel="0" collapsed="false">
      <c r="A7" s="5" t="s">
        <v>66</v>
      </c>
      <c r="B7" s="5" t="s">
        <v>67</v>
      </c>
      <c r="C7" s="6" t="n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24"/>
    <col collapsed="false" customWidth="true" hidden="false" outlineLevel="0" max="7" min="7" style="0" width="26"/>
    <col collapsed="false" customWidth="true" hidden="false" outlineLevel="0" max="8" min="8" style="0" width="12"/>
    <col collapsed="false" customWidth="true" hidden="false" outlineLevel="0" max="9" min="9" style="0" width="13"/>
  </cols>
  <sheetData>
    <row r="1" customFormat="false" ht="15" hidden="false" customHeight="false" outlineLevel="0" collapsed="false">
      <c r="A1" s="4" t="s">
        <v>68</v>
      </c>
      <c r="B1" s="4" t="s">
        <v>31</v>
      </c>
      <c r="C1" s="4" t="s">
        <v>53</v>
      </c>
      <c r="D1" s="4" t="s">
        <v>69</v>
      </c>
      <c r="E1" s="4" t="s">
        <v>70</v>
      </c>
      <c r="F1" s="4" t="s">
        <v>32</v>
      </c>
      <c r="G1" s="4" t="s">
        <v>54</v>
      </c>
      <c r="H1" s="4" t="s">
        <v>55</v>
      </c>
      <c r="I1" s="4" t="s">
        <v>71</v>
      </c>
    </row>
    <row r="2" customFormat="false" ht="15" hidden="false" customHeight="false" outlineLevel="0" collapsed="false">
      <c r="A2" s="5" t="s">
        <v>72</v>
      </c>
      <c r="B2" s="5" t="s">
        <v>37</v>
      </c>
      <c r="C2" s="5" t="s">
        <v>56</v>
      </c>
      <c r="D2" s="5" t="n">
        <v>12</v>
      </c>
      <c r="E2" s="5" t="s">
        <v>73</v>
      </c>
      <c r="F2" s="7"/>
      <c r="G2" s="7"/>
      <c r="H2" s="7"/>
      <c r="I2" s="7"/>
    </row>
    <row r="3" customFormat="false" ht="15" hidden="false" customHeight="false" outlineLevel="0" collapsed="false">
      <c r="A3" s="5" t="s">
        <v>74</v>
      </c>
      <c r="B3" s="5" t="s">
        <v>42</v>
      </c>
      <c r="C3" s="5" t="s">
        <v>58</v>
      </c>
      <c r="D3" s="5" t="n">
        <v>3</v>
      </c>
      <c r="E3" s="5" t="s">
        <v>75</v>
      </c>
      <c r="F3" s="7"/>
      <c r="G3" s="7"/>
      <c r="H3" s="7"/>
      <c r="I3" s="7"/>
    </row>
    <row r="4" customFormat="false" ht="15" hidden="false" customHeight="false" outlineLevel="0" collapsed="false">
      <c r="A4" s="5" t="s">
        <v>76</v>
      </c>
      <c r="B4" s="5" t="s">
        <v>37</v>
      </c>
      <c r="C4" s="5" t="s">
        <v>64</v>
      </c>
      <c r="D4" s="5" t="n">
        <v>7</v>
      </c>
      <c r="E4" s="5" t="s">
        <v>75</v>
      </c>
      <c r="F4" s="7"/>
      <c r="G4" s="7"/>
      <c r="H4" s="7"/>
      <c r="I4" s="7"/>
    </row>
    <row r="5" customFormat="false" ht="15" hidden="false" customHeight="false" outlineLevel="0" collapsed="false">
      <c r="A5" s="5" t="s">
        <v>77</v>
      </c>
      <c r="B5" s="5" t="s">
        <v>34</v>
      </c>
      <c r="C5" s="5" t="s">
        <v>56</v>
      </c>
      <c r="D5" s="5" t="n">
        <v>4</v>
      </c>
      <c r="E5" s="5" t="s">
        <v>78</v>
      </c>
      <c r="F5" s="7"/>
      <c r="G5" s="7"/>
      <c r="H5" s="7"/>
      <c r="I5" s="7"/>
    </row>
    <row r="6" customFormat="false" ht="15" hidden="false" customHeight="false" outlineLevel="0" collapsed="false">
      <c r="A6" s="5" t="s">
        <v>79</v>
      </c>
      <c r="B6" s="5" t="s">
        <v>34</v>
      </c>
      <c r="C6" s="5" t="s">
        <v>64</v>
      </c>
      <c r="D6" s="5" t="n">
        <v>4</v>
      </c>
      <c r="E6" s="5" t="s">
        <v>80</v>
      </c>
      <c r="F6" s="7"/>
      <c r="G6" s="7"/>
      <c r="H6" s="7"/>
      <c r="I6" s="7"/>
    </row>
    <row r="7" customFormat="false" ht="15" hidden="false" customHeight="false" outlineLevel="0" collapsed="false">
      <c r="A7" s="5" t="s">
        <v>81</v>
      </c>
      <c r="B7" s="5" t="s">
        <v>42</v>
      </c>
      <c r="C7" s="5" t="s">
        <v>62</v>
      </c>
      <c r="D7" s="5" t="n">
        <v>10</v>
      </c>
      <c r="E7" s="5" t="s">
        <v>73</v>
      </c>
      <c r="F7" s="7"/>
      <c r="G7" s="7"/>
      <c r="H7" s="7"/>
      <c r="I7" s="7"/>
    </row>
    <row r="8" customFormat="false" ht="15" hidden="false" customHeight="false" outlineLevel="0" collapsed="false">
      <c r="A8" s="5" t="s">
        <v>82</v>
      </c>
      <c r="B8" s="5" t="s">
        <v>34</v>
      </c>
      <c r="C8" s="5" t="s">
        <v>58</v>
      </c>
      <c r="D8" s="5" t="n">
        <v>12</v>
      </c>
      <c r="E8" s="5" t="s">
        <v>80</v>
      </c>
      <c r="F8" s="7"/>
      <c r="G8" s="7"/>
      <c r="H8" s="7"/>
      <c r="I8" s="7"/>
    </row>
    <row r="9" customFormat="false" ht="15" hidden="false" customHeight="false" outlineLevel="0" collapsed="false">
      <c r="A9" s="5" t="s">
        <v>83</v>
      </c>
      <c r="B9" s="5" t="s">
        <v>47</v>
      </c>
      <c r="C9" s="5" t="s">
        <v>60</v>
      </c>
      <c r="D9" s="5" t="n">
        <v>3</v>
      </c>
      <c r="E9" s="5" t="s">
        <v>78</v>
      </c>
      <c r="F9" s="7"/>
      <c r="G9" s="7"/>
      <c r="H9" s="7"/>
      <c r="I9" s="7"/>
    </row>
    <row r="10" customFormat="false" ht="15" hidden="false" customHeight="false" outlineLevel="0" collapsed="false">
      <c r="A10" s="5" t="s">
        <v>84</v>
      </c>
      <c r="B10" s="5" t="s">
        <v>47</v>
      </c>
      <c r="C10" s="5" t="s">
        <v>56</v>
      </c>
      <c r="D10" s="5" t="n">
        <v>2</v>
      </c>
      <c r="E10" s="5" t="s">
        <v>80</v>
      </c>
      <c r="F10" s="7"/>
      <c r="G10" s="7"/>
      <c r="H10" s="7"/>
      <c r="I10" s="7"/>
    </row>
    <row r="11" customFormat="false" ht="15" hidden="false" customHeight="false" outlineLevel="0" collapsed="false">
      <c r="A11" s="5" t="s">
        <v>85</v>
      </c>
      <c r="B11" s="5" t="s">
        <v>37</v>
      </c>
      <c r="C11" s="5" t="s">
        <v>60</v>
      </c>
      <c r="D11" s="5" t="n">
        <v>14</v>
      </c>
      <c r="E11" s="5" t="s">
        <v>73</v>
      </c>
      <c r="F11" s="7"/>
      <c r="G11" s="7"/>
      <c r="H11" s="7"/>
      <c r="I11" s="7"/>
    </row>
    <row r="12" customFormat="false" ht="15" hidden="false" customHeight="false" outlineLevel="0" collapsed="false">
      <c r="A12" s="5" t="s">
        <v>86</v>
      </c>
      <c r="B12" s="5" t="s">
        <v>44</v>
      </c>
      <c r="C12" s="5" t="s">
        <v>56</v>
      </c>
      <c r="D12" s="5" t="n">
        <v>12</v>
      </c>
      <c r="E12" s="5" t="s">
        <v>80</v>
      </c>
      <c r="F12" s="7"/>
      <c r="G12" s="7"/>
      <c r="H12" s="7"/>
      <c r="I12" s="7"/>
    </row>
    <row r="13" customFormat="false" ht="15" hidden="false" customHeight="false" outlineLevel="0" collapsed="false">
      <c r="A13" s="5" t="s">
        <v>87</v>
      </c>
      <c r="B13" s="5" t="s">
        <v>37</v>
      </c>
      <c r="C13" s="5" t="s">
        <v>62</v>
      </c>
      <c r="D13" s="5" t="n">
        <v>2</v>
      </c>
      <c r="E13" s="5" t="s">
        <v>73</v>
      </c>
      <c r="F13" s="7"/>
      <c r="G13" s="7"/>
      <c r="H13" s="7"/>
      <c r="I13" s="7"/>
    </row>
    <row r="14" customFormat="false" ht="15" hidden="false" customHeight="false" outlineLevel="0" collapsed="false">
      <c r="A14" s="5" t="s">
        <v>88</v>
      </c>
      <c r="B14" s="5" t="s">
        <v>47</v>
      </c>
      <c r="C14" s="5" t="s">
        <v>64</v>
      </c>
      <c r="D14" s="5" t="n">
        <v>4</v>
      </c>
      <c r="E14" s="5" t="s">
        <v>75</v>
      </c>
      <c r="F14" s="7"/>
      <c r="G14" s="7"/>
      <c r="H14" s="7"/>
      <c r="I14" s="7"/>
    </row>
    <row r="15" customFormat="false" ht="15" hidden="false" customHeight="false" outlineLevel="0" collapsed="false">
      <c r="A15" s="5" t="s">
        <v>89</v>
      </c>
      <c r="B15" s="5" t="s">
        <v>34</v>
      </c>
      <c r="C15" s="5" t="s">
        <v>66</v>
      </c>
      <c r="D15" s="5" t="n">
        <v>4</v>
      </c>
      <c r="E15" s="5" t="s">
        <v>73</v>
      </c>
      <c r="F15" s="7"/>
      <c r="G15" s="7"/>
      <c r="H15" s="7"/>
      <c r="I15" s="7"/>
    </row>
    <row r="16" customFormat="false" ht="15" hidden="false" customHeight="false" outlineLevel="0" collapsed="false">
      <c r="A16" s="5" t="s">
        <v>90</v>
      </c>
      <c r="B16" s="5" t="s">
        <v>37</v>
      </c>
      <c r="C16" s="5" t="s">
        <v>58</v>
      </c>
      <c r="D16" s="5" t="n">
        <v>14</v>
      </c>
      <c r="E16" s="5" t="s">
        <v>75</v>
      </c>
      <c r="F16" s="7"/>
      <c r="G16" s="7"/>
      <c r="H16" s="7"/>
      <c r="I16" s="7"/>
    </row>
    <row r="17" customFormat="false" ht="15" hidden="false" customHeight="false" outlineLevel="0" collapsed="false">
      <c r="A17" s="5" t="s">
        <v>91</v>
      </c>
      <c r="B17" s="5" t="s">
        <v>49</v>
      </c>
      <c r="C17" s="5" t="s">
        <v>60</v>
      </c>
      <c r="D17" s="5" t="n">
        <v>8</v>
      </c>
      <c r="E17" s="5" t="s">
        <v>73</v>
      </c>
      <c r="F17" s="7"/>
      <c r="G17" s="7"/>
      <c r="H17" s="7"/>
      <c r="I17" s="7"/>
    </row>
    <row r="18" customFormat="false" ht="15" hidden="false" customHeight="false" outlineLevel="0" collapsed="false">
      <c r="A18" s="5" t="s">
        <v>92</v>
      </c>
      <c r="B18" s="5" t="s">
        <v>40</v>
      </c>
      <c r="C18" s="5" t="s">
        <v>60</v>
      </c>
      <c r="D18" s="5" t="n">
        <v>6</v>
      </c>
      <c r="E18" s="5" t="s">
        <v>78</v>
      </c>
      <c r="F18" s="7"/>
      <c r="G18" s="7"/>
      <c r="H18" s="7"/>
      <c r="I18" s="7"/>
    </row>
    <row r="19" customFormat="false" ht="15" hidden="false" customHeight="false" outlineLevel="0" collapsed="false">
      <c r="A19" s="5" t="s">
        <v>93</v>
      </c>
      <c r="B19" s="5" t="s">
        <v>44</v>
      </c>
      <c r="C19" s="5" t="s">
        <v>66</v>
      </c>
      <c r="D19" s="5" t="n">
        <v>15</v>
      </c>
      <c r="E19" s="5" t="s">
        <v>75</v>
      </c>
      <c r="F19" s="7"/>
      <c r="G19" s="7"/>
      <c r="H19" s="7"/>
      <c r="I19" s="7"/>
    </row>
    <row r="20" customFormat="false" ht="15" hidden="false" customHeight="false" outlineLevel="0" collapsed="false">
      <c r="A20" s="5" t="s">
        <v>94</v>
      </c>
      <c r="B20" s="5" t="s">
        <v>40</v>
      </c>
      <c r="C20" s="5" t="s">
        <v>64</v>
      </c>
      <c r="D20" s="5" t="n">
        <v>12</v>
      </c>
      <c r="E20" s="5" t="s">
        <v>78</v>
      </c>
      <c r="F20" s="7"/>
      <c r="G20" s="7"/>
      <c r="H20" s="7"/>
      <c r="I20" s="7"/>
    </row>
    <row r="21" customFormat="false" ht="15" hidden="false" customHeight="false" outlineLevel="0" collapsed="false">
      <c r="A21" s="5" t="s">
        <v>95</v>
      </c>
      <c r="B21" s="5" t="s">
        <v>40</v>
      </c>
      <c r="C21" s="5" t="s">
        <v>62</v>
      </c>
      <c r="D21" s="5" t="n">
        <v>7</v>
      </c>
      <c r="E21" s="5" t="s">
        <v>73</v>
      </c>
      <c r="F21" s="7"/>
      <c r="G21" s="7"/>
      <c r="H21" s="7"/>
      <c r="I21" s="7"/>
    </row>
    <row r="24" customFormat="false" ht="15" hidden="false" customHeight="false" outlineLevel="0" collapsed="false">
      <c r="A24" s="8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24"/>
    <col collapsed="false" customWidth="true" hidden="false" outlineLevel="0" max="7" min="7" style="0" width="26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4" t="s">
        <v>68</v>
      </c>
      <c r="B1" s="4" t="s">
        <v>31</v>
      </c>
      <c r="C1" s="4" t="s">
        <v>53</v>
      </c>
      <c r="D1" s="4" t="s">
        <v>69</v>
      </c>
      <c r="E1" s="4" t="s">
        <v>70</v>
      </c>
      <c r="F1" s="4" t="s">
        <v>32</v>
      </c>
      <c r="G1" s="4" t="s">
        <v>54</v>
      </c>
      <c r="H1" s="4" t="s">
        <v>55</v>
      </c>
      <c r="I1" s="4" t="s">
        <v>71</v>
      </c>
      <c r="J1" s="9" t="s">
        <v>33</v>
      </c>
    </row>
    <row r="2" customFormat="false" ht="15" hidden="false" customHeight="false" outlineLevel="0" collapsed="false">
      <c r="A2" s="5" t="s">
        <v>72</v>
      </c>
      <c r="B2" s="5" t="s">
        <v>37</v>
      </c>
      <c r="C2" s="5" t="s">
        <v>56</v>
      </c>
      <c r="D2" s="5" t="n">
        <v>12</v>
      </c>
      <c r="E2" s="5" t="s">
        <v>73</v>
      </c>
      <c r="F2" s="5" t="s">
        <v>38</v>
      </c>
      <c r="G2" s="5" t="s">
        <v>57</v>
      </c>
      <c r="H2" s="6" t="n">
        <v>12.5</v>
      </c>
      <c r="I2" s="6" t="n">
        <v>150</v>
      </c>
      <c r="J2" s="5" t="s">
        <v>39</v>
      </c>
    </row>
    <row r="3" customFormat="false" ht="15" hidden="false" customHeight="false" outlineLevel="0" collapsed="false">
      <c r="A3" s="5" t="s">
        <v>74</v>
      </c>
      <c r="B3" s="5" t="s">
        <v>42</v>
      </c>
      <c r="C3" s="5" t="s">
        <v>58</v>
      </c>
      <c r="D3" s="5" t="n">
        <v>3</v>
      </c>
      <c r="E3" s="5" t="s">
        <v>75</v>
      </c>
      <c r="F3" s="5" t="s">
        <v>43</v>
      </c>
      <c r="G3" s="5" t="s">
        <v>59</v>
      </c>
      <c r="H3" s="6" t="n">
        <v>4.25</v>
      </c>
      <c r="I3" s="6" t="n">
        <v>12.75</v>
      </c>
      <c r="J3" s="5" t="s">
        <v>39</v>
      </c>
    </row>
    <row r="4" customFormat="false" ht="15" hidden="false" customHeight="false" outlineLevel="0" collapsed="false">
      <c r="A4" s="5" t="s">
        <v>76</v>
      </c>
      <c r="B4" s="5" t="s">
        <v>37</v>
      </c>
      <c r="C4" s="5" t="s">
        <v>64</v>
      </c>
      <c r="D4" s="5" t="n">
        <v>7</v>
      </c>
      <c r="E4" s="5" t="s">
        <v>75</v>
      </c>
      <c r="F4" s="5" t="s">
        <v>38</v>
      </c>
      <c r="G4" s="5" t="s">
        <v>65</v>
      </c>
      <c r="H4" s="6" t="n">
        <v>95</v>
      </c>
      <c r="I4" s="6" t="n">
        <v>665</v>
      </c>
      <c r="J4" s="5" t="s">
        <v>39</v>
      </c>
    </row>
    <row r="5" customFormat="false" ht="15" hidden="false" customHeight="false" outlineLevel="0" collapsed="false">
      <c r="A5" s="5" t="s">
        <v>77</v>
      </c>
      <c r="B5" s="5" t="s">
        <v>34</v>
      </c>
      <c r="C5" s="5" t="s">
        <v>56</v>
      </c>
      <c r="D5" s="5" t="n">
        <v>4</v>
      </c>
      <c r="E5" s="5" t="s">
        <v>78</v>
      </c>
      <c r="F5" s="5" t="s">
        <v>35</v>
      </c>
      <c r="G5" s="5" t="s">
        <v>57</v>
      </c>
      <c r="H5" s="6" t="n">
        <v>12.5</v>
      </c>
      <c r="I5" s="6" t="n">
        <v>50</v>
      </c>
      <c r="J5" s="5" t="s">
        <v>36</v>
      </c>
    </row>
    <row r="6" customFormat="false" ht="15" hidden="false" customHeight="false" outlineLevel="0" collapsed="false">
      <c r="A6" s="5" t="s">
        <v>79</v>
      </c>
      <c r="B6" s="5" t="s">
        <v>34</v>
      </c>
      <c r="C6" s="5" t="s">
        <v>64</v>
      </c>
      <c r="D6" s="5" t="n">
        <v>4</v>
      </c>
      <c r="E6" s="5" t="s">
        <v>80</v>
      </c>
      <c r="F6" s="5" t="s">
        <v>35</v>
      </c>
      <c r="G6" s="5" t="s">
        <v>65</v>
      </c>
      <c r="H6" s="6" t="n">
        <v>95</v>
      </c>
      <c r="I6" s="6" t="n">
        <v>380</v>
      </c>
      <c r="J6" s="5" t="s">
        <v>36</v>
      </c>
    </row>
    <row r="7" customFormat="false" ht="15" hidden="false" customHeight="false" outlineLevel="0" collapsed="false">
      <c r="A7" s="5" t="s">
        <v>81</v>
      </c>
      <c r="B7" s="5" t="s">
        <v>42</v>
      </c>
      <c r="C7" s="5" t="s">
        <v>62</v>
      </c>
      <c r="D7" s="5" t="n">
        <v>10</v>
      </c>
      <c r="E7" s="5" t="s">
        <v>73</v>
      </c>
      <c r="F7" s="5" t="s">
        <v>43</v>
      </c>
      <c r="G7" s="5" t="s">
        <v>63</v>
      </c>
      <c r="H7" s="6" t="n">
        <v>18.75</v>
      </c>
      <c r="I7" s="6" t="n">
        <v>187.5</v>
      </c>
      <c r="J7" s="5" t="s">
        <v>39</v>
      </c>
    </row>
    <row r="8" customFormat="false" ht="15" hidden="false" customHeight="false" outlineLevel="0" collapsed="false">
      <c r="A8" s="5" t="s">
        <v>82</v>
      </c>
      <c r="B8" s="5" t="s">
        <v>34</v>
      </c>
      <c r="C8" s="5" t="s">
        <v>58</v>
      </c>
      <c r="D8" s="5" t="n">
        <v>12</v>
      </c>
      <c r="E8" s="5" t="s">
        <v>80</v>
      </c>
      <c r="F8" s="5" t="s">
        <v>35</v>
      </c>
      <c r="G8" s="5" t="s">
        <v>59</v>
      </c>
      <c r="H8" s="6" t="n">
        <v>4.25</v>
      </c>
      <c r="I8" s="6" t="n">
        <v>51</v>
      </c>
      <c r="J8" s="5" t="s">
        <v>36</v>
      </c>
    </row>
    <row r="9" customFormat="false" ht="15" hidden="false" customHeight="false" outlineLevel="0" collapsed="false">
      <c r="A9" s="5" t="s">
        <v>83</v>
      </c>
      <c r="B9" s="5" t="s">
        <v>47</v>
      </c>
      <c r="C9" s="5" t="s">
        <v>60</v>
      </c>
      <c r="D9" s="5" t="n">
        <v>3</v>
      </c>
      <c r="E9" s="5" t="s">
        <v>78</v>
      </c>
      <c r="F9" s="5" t="s">
        <v>48</v>
      </c>
      <c r="G9" s="5" t="s">
        <v>61</v>
      </c>
      <c r="H9" s="6" t="n">
        <v>7</v>
      </c>
      <c r="I9" s="6" t="n">
        <v>21</v>
      </c>
      <c r="J9" s="5" t="s">
        <v>39</v>
      </c>
    </row>
    <row r="10" customFormat="false" ht="15" hidden="false" customHeight="false" outlineLevel="0" collapsed="false">
      <c r="A10" s="5" t="s">
        <v>84</v>
      </c>
      <c r="B10" s="5" t="s">
        <v>47</v>
      </c>
      <c r="C10" s="5" t="s">
        <v>56</v>
      </c>
      <c r="D10" s="5" t="n">
        <v>2</v>
      </c>
      <c r="E10" s="5" t="s">
        <v>80</v>
      </c>
      <c r="F10" s="5" t="s">
        <v>48</v>
      </c>
      <c r="G10" s="5" t="s">
        <v>57</v>
      </c>
      <c r="H10" s="6" t="n">
        <v>12.5</v>
      </c>
      <c r="I10" s="6" t="n">
        <v>25</v>
      </c>
      <c r="J10" s="5" t="s">
        <v>39</v>
      </c>
    </row>
    <row r="11" customFormat="false" ht="15" hidden="false" customHeight="false" outlineLevel="0" collapsed="false">
      <c r="A11" s="5" t="s">
        <v>85</v>
      </c>
      <c r="B11" s="5" t="s">
        <v>37</v>
      </c>
      <c r="C11" s="5" t="s">
        <v>60</v>
      </c>
      <c r="D11" s="5" t="n">
        <v>14</v>
      </c>
      <c r="E11" s="5" t="s">
        <v>73</v>
      </c>
      <c r="F11" s="5" t="s">
        <v>38</v>
      </c>
      <c r="G11" s="5" t="s">
        <v>61</v>
      </c>
      <c r="H11" s="6" t="n">
        <v>7</v>
      </c>
      <c r="I11" s="6" t="n">
        <v>98</v>
      </c>
      <c r="J11" s="5" t="s">
        <v>39</v>
      </c>
    </row>
    <row r="12" customFormat="false" ht="15" hidden="false" customHeight="false" outlineLevel="0" collapsed="false">
      <c r="A12" s="5" t="s">
        <v>86</v>
      </c>
      <c r="B12" s="5" t="s">
        <v>44</v>
      </c>
      <c r="C12" s="5" t="s">
        <v>56</v>
      </c>
      <c r="D12" s="5" t="n">
        <v>12</v>
      </c>
      <c r="E12" s="5" t="s">
        <v>80</v>
      </c>
      <c r="F12" s="5" t="s">
        <v>45</v>
      </c>
      <c r="G12" s="5" t="s">
        <v>57</v>
      </c>
      <c r="H12" s="6" t="n">
        <v>12.5</v>
      </c>
      <c r="I12" s="6" t="n">
        <v>150</v>
      </c>
      <c r="J12" s="5" t="s">
        <v>46</v>
      </c>
    </row>
    <row r="13" customFormat="false" ht="15" hidden="false" customHeight="false" outlineLevel="0" collapsed="false">
      <c r="A13" s="5" t="s">
        <v>87</v>
      </c>
      <c r="B13" s="5" t="s">
        <v>37</v>
      </c>
      <c r="C13" s="5" t="s">
        <v>62</v>
      </c>
      <c r="D13" s="5" t="n">
        <v>2</v>
      </c>
      <c r="E13" s="5" t="s">
        <v>73</v>
      </c>
      <c r="F13" s="5" t="s">
        <v>38</v>
      </c>
      <c r="G13" s="5" t="s">
        <v>63</v>
      </c>
      <c r="H13" s="6" t="n">
        <v>18.75</v>
      </c>
      <c r="I13" s="6" t="n">
        <v>37.5</v>
      </c>
      <c r="J13" s="5" t="s">
        <v>39</v>
      </c>
    </row>
    <row r="14" customFormat="false" ht="15" hidden="false" customHeight="false" outlineLevel="0" collapsed="false">
      <c r="A14" s="5" t="s">
        <v>88</v>
      </c>
      <c r="B14" s="5" t="s">
        <v>47</v>
      </c>
      <c r="C14" s="5" t="s">
        <v>64</v>
      </c>
      <c r="D14" s="5" t="n">
        <v>4</v>
      </c>
      <c r="E14" s="5" t="s">
        <v>75</v>
      </c>
      <c r="F14" s="5" t="s">
        <v>48</v>
      </c>
      <c r="G14" s="5" t="s">
        <v>65</v>
      </c>
      <c r="H14" s="6" t="n">
        <v>95</v>
      </c>
      <c r="I14" s="6" t="n">
        <v>380</v>
      </c>
      <c r="J14" s="5" t="s">
        <v>39</v>
      </c>
    </row>
    <row r="15" customFormat="false" ht="15" hidden="false" customHeight="false" outlineLevel="0" collapsed="false">
      <c r="A15" s="5" t="s">
        <v>89</v>
      </c>
      <c r="B15" s="5" t="s">
        <v>34</v>
      </c>
      <c r="C15" s="5" t="s">
        <v>66</v>
      </c>
      <c r="D15" s="5" t="n">
        <v>4</v>
      </c>
      <c r="E15" s="5" t="s">
        <v>73</v>
      </c>
      <c r="F15" s="5" t="s">
        <v>35</v>
      </c>
      <c r="G15" s="5" t="s">
        <v>67</v>
      </c>
      <c r="H15" s="6" t="n">
        <v>22</v>
      </c>
      <c r="I15" s="6" t="n">
        <v>88</v>
      </c>
      <c r="J15" s="5" t="s">
        <v>36</v>
      </c>
    </row>
    <row r="16" customFormat="false" ht="15" hidden="false" customHeight="false" outlineLevel="0" collapsed="false">
      <c r="A16" s="5" t="s">
        <v>90</v>
      </c>
      <c r="B16" s="5" t="s">
        <v>37</v>
      </c>
      <c r="C16" s="5" t="s">
        <v>58</v>
      </c>
      <c r="D16" s="5" t="n">
        <v>14</v>
      </c>
      <c r="E16" s="5" t="s">
        <v>75</v>
      </c>
      <c r="F16" s="5" t="s">
        <v>38</v>
      </c>
      <c r="G16" s="5" t="s">
        <v>59</v>
      </c>
      <c r="H16" s="6" t="n">
        <v>4.25</v>
      </c>
      <c r="I16" s="6" t="n">
        <v>59.5</v>
      </c>
      <c r="J16" s="5" t="s">
        <v>39</v>
      </c>
    </row>
    <row r="17" customFormat="false" ht="15" hidden="false" customHeight="false" outlineLevel="0" collapsed="false">
      <c r="A17" s="5" t="s">
        <v>91</v>
      </c>
      <c r="B17" s="5" t="s">
        <v>49</v>
      </c>
      <c r="C17" s="5" t="s">
        <v>60</v>
      </c>
      <c r="D17" s="5" t="n">
        <v>8</v>
      </c>
      <c r="E17" s="5" t="s">
        <v>73</v>
      </c>
      <c r="F17" s="5" t="s">
        <v>50</v>
      </c>
      <c r="G17" s="5" t="s">
        <v>61</v>
      </c>
      <c r="H17" s="6" t="n">
        <v>7</v>
      </c>
      <c r="I17" s="6" t="n">
        <v>56</v>
      </c>
      <c r="J17" s="5" t="s">
        <v>46</v>
      </c>
    </row>
    <row r="18" customFormat="false" ht="15" hidden="false" customHeight="false" outlineLevel="0" collapsed="false">
      <c r="A18" s="5" t="s">
        <v>92</v>
      </c>
      <c r="B18" s="5" t="s">
        <v>40</v>
      </c>
      <c r="C18" s="5" t="s">
        <v>60</v>
      </c>
      <c r="D18" s="5" t="n">
        <v>6</v>
      </c>
      <c r="E18" s="5" t="s">
        <v>78</v>
      </c>
      <c r="F18" s="5" t="s">
        <v>41</v>
      </c>
      <c r="G18" s="5" t="s">
        <v>61</v>
      </c>
      <c r="H18" s="6" t="n">
        <v>7</v>
      </c>
      <c r="I18" s="6" t="n">
        <v>42</v>
      </c>
      <c r="J18" s="5" t="s">
        <v>36</v>
      </c>
    </row>
    <row r="19" customFormat="false" ht="15" hidden="false" customHeight="false" outlineLevel="0" collapsed="false">
      <c r="A19" s="5" t="s">
        <v>93</v>
      </c>
      <c r="B19" s="5" t="s">
        <v>44</v>
      </c>
      <c r="C19" s="5" t="s">
        <v>66</v>
      </c>
      <c r="D19" s="5" t="n">
        <v>15</v>
      </c>
      <c r="E19" s="5" t="s">
        <v>75</v>
      </c>
      <c r="F19" s="5" t="s">
        <v>45</v>
      </c>
      <c r="G19" s="5" t="s">
        <v>67</v>
      </c>
      <c r="H19" s="6" t="n">
        <v>22</v>
      </c>
      <c r="I19" s="6" t="n">
        <v>330</v>
      </c>
      <c r="J19" s="5" t="s">
        <v>46</v>
      </c>
    </row>
    <row r="20" customFormat="false" ht="15" hidden="false" customHeight="false" outlineLevel="0" collapsed="false">
      <c r="A20" s="5" t="s">
        <v>94</v>
      </c>
      <c r="B20" s="5" t="s">
        <v>40</v>
      </c>
      <c r="C20" s="5" t="s">
        <v>64</v>
      </c>
      <c r="D20" s="5" t="n">
        <v>12</v>
      </c>
      <c r="E20" s="5" t="s">
        <v>78</v>
      </c>
      <c r="F20" s="5" t="s">
        <v>41</v>
      </c>
      <c r="G20" s="5" t="s">
        <v>65</v>
      </c>
      <c r="H20" s="6" t="n">
        <v>95</v>
      </c>
      <c r="I20" s="6" t="n">
        <v>1140</v>
      </c>
      <c r="J20" s="5" t="s">
        <v>36</v>
      </c>
    </row>
    <row r="21" customFormat="false" ht="15" hidden="false" customHeight="false" outlineLevel="0" collapsed="false">
      <c r="A21" s="5" t="s">
        <v>95</v>
      </c>
      <c r="B21" s="5" t="s">
        <v>40</v>
      </c>
      <c r="C21" s="5" t="s">
        <v>62</v>
      </c>
      <c r="D21" s="5" t="n">
        <v>7</v>
      </c>
      <c r="E21" s="5" t="s">
        <v>73</v>
      </c>
      <c r="F21" s="5" t="s">
        <v>41</v>
      </c>
      <c r="G21" s="5" t="s">
        <v>63</v>
      </c>
      <c r="H21" s="6" t="n">
        <v>18.75</v>
      </c>
      <c r="I21" s="6" t="n">
        <v>131.25</v>
      </c>
      <c r="J21" s="5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24"/>
    <col collapsed="false" customWidth="true" hidden="false" outlineLevel="0" max="7" min="7" style="0" width="26"/>
    <col collapsed="false" customWidth="true" hidden="false" outlineLevel="0" max="8" min="8" style="0" width="12"/>
    <col collapsed="false" customWidth="true" hidden="false" outlineLevel="0" max="9" min="9" style="0" width="13"/>
  </cols>
  <sheetData>
    <row r="1" customFormat="false" ht="17.35" hidden="false" customHeight="false" outlineLevel="0" collapsed="false">
      <c r="A1" s="1" t="s">
        <v>97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4" t="s">
        <v>68</v>
      </c>
      <c r="B3" s="4" t="s">
        <v>31</v>
      </c>
      <c r="C3" s="4" t="s">
        <v>53</v>
      </c>
      <c r="D3" s="4" t="s">
        <v>69</v>
      </c>
      <c r="E3" s="4" t="s">
        <v>70</v>
      </c>
      <c r="F3" s="4" t="s">
        <v>32</v>
      </c>
      <c r="G3" s="4" t="s">
        <v>54</v>
      </c>
      <c r="H3" s="4" t="s">
        <v>55</v>
      </c>
      <c r="I3" s="4" t="s">
        <v>71</v>
      </c>
    </row>
    <row r="4" customFormat="false" ht="15" hidden="false" customHeight="false" outlineLevel="0" collapsed="false">
      <c r="A4" s="5" t="str">
        <f aca="false">Orders!A2</f>
        <v>O1001</v>
      </c>
      <c r="B4" s="5" t="str">
        <f aca="false">Orders!B2</f>
        <v>C002</v>
      </c>
      <c r="C4" s="5" t="str">
        <f aca="false">Orders!C2</f>
        <v>P100</v>
      </c>
      <c r="D4" s="5" t="n">
        <f aca="false">Orders!D2</f>
        <v>12</v>
      </c>
      <c r="E4" s="5" t="str">
        <f aca="false">Orders!E2</f>
        <v>East</v>
      </c>
      <c r="F4" s="10" t="str">
        <f aca="false">VLOOKUP(B4, Customers!$A$2:$C$9, 2, FALSE())</f>
        <v>Brightwave Retail</v>
      </c>
      <c r="G4" s="10" t="str">
        <f aca="false">VLOOKUP(C4, Products!$A$2:$C$7, 2, FALSE())</f>
        <v>Shipping Labels (box)</v>
      </c>
      <c r="H4" s="11" t="n">
        <f aca="false">VLOOKUP(C4, Products!$A$2:$C$7, 3, FALSE())</f>
        <v>12.5</v>
      </c>
      <c r="I4" s="11" t="n">
        <f aca="false">D4*H4</f>
        <v>150</v>
      </c>
    </row>
    <row r="5" customFormat="false" ht="15" hidden="false" customHeight="false" outlineLevel="0" collapsed="false">
      <c r="A5" s="5" t="str">
        <f aca="false">Orders!A3</f>
        <v>O1002</v>
      </c>
      <c r="B5" s="5" t="str">
        <f aca="false">Orders!B3</f>
        <v>C004</v>
      </c>
      <c r="C5" s="5" t="str">
        <f aca="false">Orders!C3</f>
        <v>P101</v>
      </c>
      <c r="D5" s="5" t="n">
        <f aca="false">Orders!D3</f>
        <v>3</v>
      </c>
      <c r="E5" s="5" t="str">
        <f aca="false">Orders!E3</f>
        <v>North</v>
      </c>
      <c r="F5" s="10" t="str">
        <f aca="false">VLOOKUP(B5, Customers!$A$2:$C$9, 2, FALSE())</f>
        <v>Delgado &amp; Sons</v>
      </c>
      <c r="G5" s="10" t="str">
        <f aca="false">VLOOKUP(C5, Products!$A$2:$C$7, 2, FALSE())</f>
        <v>Packing Tape (roll)</v>
      </c>
      <c r="H5" s="11" t="n">
        <f aca="false">VLOOKUP(C5, Products!$A$2:$C$7, 3, FALSE())</f>
        <v>4.25</v>
      </c>
      <c r="I5" s="11" t="n">
        <f aca="false">D5*H5</f>
        <v>12.75</v>
      </c>
    </row>
    <row r="6" customFormat="false" ht="15" hidden="false" customHeight="false" outlineLevel="0" collapsed="false">
      <c r="A6" s="5" t="str">
        <f aca="false">Orders!A4</f>
        <v>O1003</v>
      </c>
      <c r="B6" s="5" t="str">
        <f aca="false">Orders!B4</f>
        <v>C002</v>
      </c>
      <c r="C6" s="5" t="str">
        <f aca="false">Orders!C4</f>
        <v>P104</v>
      </c>
      <c r="D6" s="5" t="n">
        <f aca="false">Orders!D4</f>
        <v>7</v>
      </c>
      <c r="E6" s="5" t="str">
        <f aca="false">Orders!E4</f>
        <v>North</v>
      </c>
      <c r="F6" s="10" t="str">
        <f aca="false">VLOOKUP(B6, Customers!$A$2:$C$9, 2, FALSE())</f>
        <v>Brightwave Retail</v>
      </c>
      <c r="G6" s="10" t="str">
        <f aca="false">VLOOKUP(C6, Products!$A$2:$C$7, 2, FALSE())</f>
        <v>Barcode Scanner</v>
      </c>
      <c r="H6" s="11" t="n">
        <f aca="false">VLOOKUP(C6, Products!$A$2:$C$7, 3, FALSE())</f>
        <v>95</v>
      </c>
      <c r="I6" s="11" t="n">
        <f aca="false">D6*H6</f>
        <v>665</v>
      </c>
    </row>
    <row r="7" customFormat="false" ht="15" hidden="false" customHeight="false" outlineLevel="0" collapsed="false">
      <c r="A7" s="5" t="str">
        <f aca="false">Orders!A5</f>
        <v>O1004</v>
      </c>
      <c r="B7" s="5" t="str">
        <f aca="false">Orders!B5</f>
        <v>C001</v>
      </c>
      <c r="C7" s="5" t="str">
        <f aca="false">Orders!C5</f>
        <v>P100</v>
      </c>
      <c r="D7" s="5" t="n">
        <f aca="false">Orders!D5</f>
        <v>4</v>
      </c>
      <c r="E7" s="5" t="str">
        <f aca="false">Orders!E5</f>
        <v>South</v>
      </c>
      <c r="F7" s="10" t="str">
        <f aca="false">VLOOKUP(B7, Customers!$A$2:$C$9, 2, FALSE())</f>
        <v>Alden Manufacturing</v>
      </c>
      <c r="G7" s="10" t="str">
        <f aca="false">VLOOKUP(C7, Products!$A$2:$C$7, 2, FALSE())</f>
        <v>Shipping Labels (box)</v>
      </c>
      <c r="H7" s="11" t="n">
        <f aca="false">VLOOKUP(C7, Products!$A$2:$C$7, 3, FALSE())</f>
        <v>12.5</v>
      </c>
      <c r="I7" s="11" t="n">
        <f aca="false">D7*H7</f>
        <v>50</v>
      </c>
    </row>
    <row r="8" customFormat="false" ht="15" hidden="false" customHeight="false" outlineLevel="0" collapsed="false">
      <c r="A8" s="5" t="str">
        <f aca="false">Orders!A6</f>
        <v>O1005</v>
      </c>
      <c r="B8" s="5" t="str">
        <f aca="false">Orders!B6</f>
        <v>C001</v>
      </c>
      <c r="C8" s="5" t="str">
        <f aca="false">Orders!C6</f>
        <v>P104</v>
      </c>
      <c r="D8" s="5" t="n">
        <f aca="false">Orders!D6</f>
        <v>4</v>
      </c>
      <c r="E8" s="5" t="str">
        <f aca="false">Orders!E6</f>
        <v>West</v>
      </c>
      <c r="F8" s="10" t="str">
        <f aca="false">VLOOKUP(B8, Customers!$A$2:$C$9, 2, FALSE())</f>
        <v>Alden Manufacturing</v>
      </c>
      <c r="G8" s="10" t="str">
        <f aca="false">VLOOKUP(C8, Products!$A$2:$C$7, 2, FALSE())</f>
        <v>Barcode Scanner</v>
      </c>
      <c r="H8" s="11" t="n">
        <f aca="false">VLOOKUP(C8, Products!$A$2:$C$7, 3, FALSE())</f>
        <v>95</v>
      </c>
      <c r="I8" s="11" t="n">
        <f aca="false">D8*H8</f>
        <v>380</v>
      </c>
    </row>
    <row r="9" customFormat="false" ht="15" hidden="false" customHeight="false" outlineLevel="0" collapsed="false">
      <c r="A9" s="5" t="str">
        <f aca="false">Orders!A7</f>
        <v>O1006</v>
      </c>
      <c r="B9" s="5" t="str">
        <f aca="false">Orders!B7</f>
        <v>C004</v>
      </c>
      <c r="C9" s="5" t="str">
        <f aca="false">Orders!C7</f>
        <v>P103</v>
      </c>
      <c r="D9" s="5" t="n">
        <f aca="false">Orders!D7</f>
        <v>10</v>
      </c>
      <c r="E9" s="5" t="str">
        <f aca="false">Orders!E7</f>
        <v>East</v>
      </c>
      <c r="F9" s="10" t="str">
        <f aca="false">VLOOKUP(B9, Customers!$A$2:$C$9, 2, FALSE())</f>
        <v>Delgado &amp; Sons</v>
      </c>
      <c r="G9" s="10" t="str">
        <f aca="false">VLOOKUP(C9, Products!$A$2:$C$7, 2, FALSE())</f>
        <v>Pallet Wrap (roll)</v>
      </c>
      <c r="H9" s="11" t="n">
        <f aca="false">VLOOKUP(C9, Products!$A$2:$C$7, 3, FALSE())</f>
        <v>18.75</v>
      </c>
      <c r="I9" s="11" t="n">
        <f aca="false">D9*H9</f>
        <v>187.5</v>
      </c>
    </row>
    <row r="10" customFormat="false" ht="15" hidden="false" customHeight="false" outlineLevel="0" collapsed="false">
      <c r="A10" s="5" t="str">
        <f aca="false">Orders!A8</f>
        <v>O1007</v>
      </c>
      <c r="B10" s="5" t="str">
        <f aca="false">Orders!B8</f>
        <v>C001</v>
      </c>
      <c r="C10" s="5" t="str">
        <f aca="false">Orders!C8</f>
        <v>P101</v>
      </c>
      <c r="D10" s="5" t="n">
        <f aca="false">Orders!D8</f>
        <v>12</v>
      </c>
      <c r="E10" s="5" t="str">
        <f aca="false">Orders!E8</f>
        <v>West</v>
      </c>
      <c r="F10" s="10" t="str">
        <f aca="false">VLOOKUP(B10, Customers!$A$2:$C$9, 2, FALSE())</f>
        <v>Alden Manufacturing</v>
      </c>
      <c r="G10" s="10" t="str">
        <f aca="false">VLOOKUP(C10, Products!$A$2:$C$7, 2, FALSE())</f>
        <v>Packing Tape (roll)</v>
      </c>
      <c r="H10" s="11" t="n">
        <f aca="false">VLOOKUP(C10, Products!$A$2:$C$7, 3, FALSE())</f>
        <v>4.25</v>
      </c>
      <c r="I10" s="11" t="n">
        <f aca="false">D10*H10</f>
        <v>51</v>
      </c>
    </row>
    <row r="11" customFormat="false" ht="15" hidden="false" customHeight="false" outlineLevel="0" collapsed="false">
      <c r="A11" s="5" t="str">
        <f aca="false">Orders!A9</f>
        <v>O1008</v>
      </c>
      <c r="B11" s="5" t="str">
        <f aca="false">Orders!B9</f>
        <v>C006</v>
      </c>
      <c r="C11" s="5" t="str">
        <f aca="false">Orders!C9</f>
        <v>P102</v>
      </c>
      <c r="D11" s="5" t="n">
        <f aca="false">Orders!D9</f>
        <v>3</v>
      </c>
      <c r="E11" s="5" t="str">
        <f aca="false">Orders!E9</f>
        <v>South</v>
      </c>
      <c r="F11" s="10" t="str">
        <f aca="false">VLOOKUP(B11, Customers!$A$2:$C$9, 2, FALSE())</f>
        <v>Finch Hardware</v>
      </c>
      <c r="G11" s="10" t="str">
        <f aca="false">VLOOKUP(C11, Products!$A$2:$C$7, 2, FALSE())</f>
        <v>Warehouse Gloves (pair)</v>
      </c>
      <c r="H11" s="11" t="n">
        <f aca="false">VLOOKUP(C11, Products!$A$2:$C$7, 3, FALSE())</f>
        <v>7</v>
      </c>
      <c r="I11" s="11" t="n">
        <f aca="false">D11*H11</f>
        <v>21</v>
      </c>
    </row>
    <row r="12" customFormat="false" ht="15" hidden="false" customHeight="false" outlineLevel="0" collapsed="false">
      <c r="A12" s="5" t="str">
        <f aca="false">Orders!A10</f>
        <v>O1009</v>
      </c>
      <c r="B12" s="5" t="str">
        <f aca="false">Orders!B10</f>
        <v>C006</v>
      </c>
      <c r="C12" s="5" t="str">
        <f aca="false">Orders!C10</f>
        <v>P100</v>
      </c>
      <c r="D12" s="5" t="n">
        <f aca="false">Orders!D10</f>
        <v>2</v>
      </c>
      <c r="E12" s="5" t="str">
        <f aca="false">Orders!E10</f>
        <v>West</v>
      </c>
      <c r="F12" s="10" t="str">
        <f aca="false">VLOOKUP(B12, Customers!$A$2:$C$9, 2, FALSE())</f>
        <v>Finch Hardware</v>
      </c>
      <c r="G12" s="10" t="str">
        <f aca="false">VLOOKUP(C12, Products!$A$2:$C$7, 2, FALSE())</f>
        <v>Shipping Labels (box)</v>
      </c>
      <c r="H12" s="11" t="n">
        <f aca="false">VLOOKUP(C12, Products!$A$2:$C$7, 3, FALSE())</f>
        <v>12.5</v>
      </c>
      <c r="I12" s="11" t="n">
        <f aca="false">D12*H12</f>
        <v>25</v>
      </c>
    </row>
    <row r="13" customFormat="false" ht="15" hidden="false" customHeight="false" outlineLevel="0" collapsed="false">
      <c r="A13" s="5" t="str">
        <f aca="false">Orders!A11</f>
        <v>O1010</v>
      </c>
      <c r="B13" s="5" t="str">
        <f aca="false">Orders!B11</f>
        <v>C002</v>
      </c>
      <c r="C13" s="5" t="str">
        <f aca="false">Orders!C11</f>
        <v>P102</v>
      </c>
      <c r="D13" s="5" t="n">
        <f aca="false">Orders!D11</f>
        <v>14</v>
      </c>
      <c r="E13" s="5" t="str">
        <f aca="false">Orders!E11</f>
        <v>East</v>
      </c>
      <c r="F13" s="10" t="str">
        <f aca="false">VLOOKUP(B13, Customers!$A$2:$C$9, 2, FALSE())</f>
        <v>Brightwave Retail</v>
      </c>
      <c r="G13" s="10" t="str">
        <f aca="false">VLOOKUP(C13, Products!$A$2:$C$7, 2, FALSE())</f>
        <v>Warehouse Gloves (pair)</v>
      </c>
      <c r="H13" s="11" t="n">
        <f aca="false">VLOOKUP(C13, Products!$A$2:$C$7, 3, FALSE())</f>
        <v>7</v>
      </c>
      <c r="I13" s="11" t="n">
        <f aca="false">D13*H13</f>
        <v>98</v>
      </c>
    </row>
    <row r="14" customFormat="false" ht="15" hidden="false" customHeight="false" outlineLevel="0" collapsed="false">
      <c r="A14" s="5" t="str">
        <f aca="false">Orders!A12</f>
        <v>O1011</v>
      </c>
      <c r="B14" s="5" t="str">
        <f aca="false">Orders!B12</f>
        <v>C005</v>
      </c>
      <c r="C14" s="5" t="str">
        <f aca="false">Orders!C12</f>
        <v>P100</v>
      </c>
      <c r="D14" s="5" t="n">
        <f aca="false">Orders!D12</f>
        <v>12</v>
      </c>
      <c r="E14" s="5" t="str">
        <f aca="false">Orders!E12</f>
        <v>West</v>
      </c>
      <c r="F14" s="10" t="str">
        <f aca="false">VLOOKUP(B14, Customers!$A$2:$C$9, 2, FALSE())</f>
        <v>Everline Foods</v>
      </c>
      <c r="G14" s="10" t="str">
        <f aca="false">VLOOKUP(C14, Products!$A$2:$C$7, 2, FALSE())</f>
        <v>Shipping Labels (box)</v>
      </c>
      <c r="H14" s="11" t="n">
        <f aca="false">VLOOKUP(C14, Products!$A$2:$C$7, 3, FALSE())</f>
        <v>12.5</v>
      </c>
      <c r="I14" s="11" t="n">
        <f aca="false">D14*H14</f>
        <v>150</v>
      </c>
    </row>
    <row r="15" customFormat="false" ht="15" hidden="false" customHeight="false" outlineLevel="0" collapsed="false">
      <c r="A15" s="5" t="str">
        <f aca="false">Orders!A13</f>
        <v>O1012</v>
      </c>
      <c r="B15" s="5" t="str">
        <f aca="false">Orders!B13</f>
        <v>C002</v>
      </c>
      <c r="C15" s="5" t="str">
        <f aca="false">Orders!C13</f>
        <v>P103</v>
      </c>
      <c r="D15" s="5" t="n">
        <f aca="false">Orders!D13</f>
        <v>2</v>
      </c>
      <c r="E15" s="5" t="str">
        <f aca="false">Orders!E13</f>
        <v>East</v>
      </c>
      <c r="F15" s="10" t="str">
        <f aca="false">VLOOKUP(B15, Customers!$A$2:$C$9, 2, FALSE())</f>
        <v>Brightwave Retail</v>
      </c>
      <c r="G15" s="10" t="str">
        <f aca="false">VLOOKUP(C15, Products!$A$2:$C$7, 2, FALSE())</f>
        <v>Pallet Wrap (roll)</v>
      </c>
      <c r="H15" s="11" t="n">
        <f aca="false">VLOOKUP(C15, Products!$A$2:$C$7, 3, FALSE())</f>
        <v>18.75</v>
      </c>
      <c r="I15" s="11" t="n">
        <f aca="false">D15*H15</f>
        <v>37.5</v>
      </c>
    </row>
    <row r="16" customFormat="false" ht="15" hidden="false" customHeight="false" outlineLevel="0" collapsed="false">
      <c r="A16" s="5" t="str">
        <f aca="false">Orders!A14</f>
        <v>O1013</v>
      </c>
      <c r="B16" s="5" t="str">
        <f aca="false">Orders!B14</f>
        <v>C006</v>
      </c>
      <c r="C16" s="5" t="str">
        <f aca="false">Orders!C14</f>
        <v>P104</v>
      </c>
      <c r="D16" s="5" t="n">
        <f aca="false">Orders!D14</f>
        <v>4</v>
      </c>
      <c r="E16" s="5" t="str">
        <f aca="false">Orders!E14</f>
        <v>North</v>
      </c>
      <c r="F16" s="10" t="str">
        <f aca="false">VLOOKUP(B16, Customers!$A$2:$C$9, 2, FALSE())</f>
        <v>Finch Hardware</v>
      </c>
      <c r="G16" s="10" t="str">
        <f aca="false">VLOOKUP(C16, Products!$A$2:$C$7, 2, FALSE())</f>
        <v>Barcode Scanner</v>
      </c>
      <c r="H16" s="11" t="n">
        <f aca="false">VLOOKUP(C16, Products!$A$2:$C$7, 3, FALSE())</f>
        <v>95</v>
      </c>
      <c r="I16" s="11" t="n">
        <f aca="false">D16*H16</f>
        <v>380</v>
      </c>
    </row>
    <row r="17" customFormat="false" ht="15" hidden="false" customHeight="false" outlineLevel="0" collapsed="false">
      <c r="A17" s="5" t="str">
        <f aca="false">Orders!A15</f>
        <v>O1014</v>
      </c>
      <c r="B17" s="5" t="str">
        <f aca="false">Orders!B15</f>
        <v>C001</v>
      </c>
      <c r="C17" s="5" t="str">
        <f aca="false">Orders!C15</f>
        <v>P105</v>
      </c>
      <c r="D17" s="5" t="n">
        <f aca="false">Orders!D15</f>
        <v>4</v>
      </c>
      <c r="E17" s="5" t="str">
        <f aca="false">Orders!E15</f>
        <v>East</v>
      </c>
      <c r="F17" s="10" t="str">
        <f aca="false">VLOOKUP(B17, Customers!$A$2:$C$9, 2, FALSE())</f>
        <v>Alden Manufacturing</v>
      </c>
      <c r="G17" s="10" t="str">
        <f aca="false">VLOOKUP(C17, Products!$A$2:$C$7, 2, FALSE())</f>
        <v>Storage Bin (large)</v>
      </c>
      <c r="H17" s="11" t="n">
        <f aca="false">VLOOKUP(C17, Products!$A$2:$C$7, 3, FALSE())</f>
        <v>22</v>
      </c>
      <c r="I17" s="11" t="n">
        <f aca="false">D17*H17</f>
        <v>88</v>
      </c>
    </row>
    <row r="18" customFormat="false" ht="15" hidden="false" customHeight="false" outlineLevel="0" collapsed="false">
      <c r="A18" s="5" t="str">
        <f aca="false">Orders!A16</f>
        <v>O1015</v>
      </c>
      <c r="B18" s="5" t="str">
        <f aca="false">Orders!B16</f>
        <v>C002</v>
      </c>
      <c r="C18" s="5" t="str">
        <f aca="false">Orders!C16</f>
        <v>P101</v>
      </c>
      <c r="D18" s="5" t="n">
        <f aca="false">Orders!D16</f>
        <v>14</v>
      </c>
      <c r="E18" s="5" t="str">
        <f aca="false">Orders!E16</f>
        <v>North</v>
      </c>
      <c r="F18" s="10" t="str">
        <f aca="false">VLOOKUP(B18, Customers!$A$2:$C$9, 2, FALSE())</f>
        <v>Brightwave Retail</v>
      </c>
      <c r="G18" s="10" t="str">
        <f aca="false">VLOOKUP(C18, Products!$A$2:$C$7, 2, FALSE())</f>
        <v>Packing Tape (roll)</v>
      </c>
      <c r="H18" s="11" t="n">
        <f aca="false">VLOOKUP(C18, Products!$A$2:$C$7, 3, FALSE())</f>
        <v>4.25</v>
      </c>
      <c r="I18" s="11" t="n">
        <f aca="false">D18*H18</f>
        <v>59.5</v>
      </c>
    </row>
    <row r="19" customFormat="false" ht="15" hidden="false" customHeight="false" outlineLevel="0" collapsed="false">
      <c r="A19" s="5" t="str">
        <f aca="false">Orders!A17</f>
        <v>O1016</v>
      </c>
      <c r="B19" s="5" t="str">
        <f aca="false">Orders!B17</f>
        <v>C007</v>
      </c>
      <c r="C19" s="5" t="str">
        <f aca="false">Orders!C17</f>
        <v>P102</v>
      </c>
      <c r="D19" s="5" t="n">
        <f aca="false">Orders!D17</f>
        <v>8</v>
      </c>
      <c r="E19" s="5" t="str">
        <f aca="false">Orders!E17</f>
        <v>East</v>
      </c>
      <c r="F19" s="10" t="str">
        <f aca="false">VLOOKUP(B19, Customers!$A$2:$C$9, 2, FALSE())</f>
        <v>Garrison Textiles</v>
      </c>
      <c r="G19" s="10" t="str">
        <f aca="false">VLOOKUP(C19, Products!$A$2:$C$7, 2, FALSE())</f>
        <v>Warehouse Gloves (pair)</v>
      </c>
      <c r="H19" s="11" t="n">
        <f aca="false">VLOOKUP(C19, Products!$A$2:$C$7, 3, FALSE())</f>
        <v>7</v>
      </c>
      <c r="I19" s="11" t="n">
        <f aca="false">D19*H19</f>
        <v>56</v>
      </c>
    </row>
    <row r="20" customFormat="false" ht="15" hidden="false" customHeight="false" outlineLevel="0" collapsed="false">
      <c r="A20" s="5" t="str">
        <f aca="false">Orders!A18</f>
        <v>O1017</v>
      </c>
      <c r="B20" s="5" t="str">
        <f aca="false">Orders!B18</f>
        <v>C003</v>
      </c>
      <c r="C20" s="5" t="str">
        <f aca="false">Orders!C18</f>
        <v>P102</v>
      </c>
      <c r="D20" s="5" t="n">
        <f aca="false">Orders!D18</f>
        <v>6</v>
      </c>
      <c r="E20" s="5" t="str">
        <f aca="false">Orders!E18</f>
        <v>South</v>
      </c>
      <c r="F20" s="10" t="str">
        <f aca="false">VLOOKUP(B20, Customers!$A$2:$C$9, 2, FALSE())</f>
        <v>Coastal Logistics</v>
      </c>
      <c r="G20" s="10" t="str">
        <f aca="false">VLOOKUP(C20, Products!$A$2:$C$7, 2, FALSE())</f>
        <v>Warehouse Gloves (pair)</v>
      </c>
      <c r="H20" s="11" t="n">
        <f aca="false">VLOOKUP(C20, Products!$A$2:$C$7, 3, FALSE())</f>
        <v>7</v>
      </c>
      <c r="I20" s="11" t="n">
        <f aca="false">D20*H20</f>
        <v>42</v>
      </c>
    </row>
    <row r="21" customFormat="false" ht="15" hidden="false" customHeight="false" outlineLevel="0" collapsed="false">
      <c r="A21" s="5" t="str">
        <f aca="false">Orders!A19</f>
        <v>O1018</v>
      </c>
      <c r="B21" s="5" t="str">
        <f aca="false">Orders!B19</f>
        <v>C005</v>
      </c>
      <c r="C21" s="5" t="str">
        <f aca="false">Orders!C19</f>
        <v>P105</v>
      </c>
      <c r="D21" s="5" t="n">
        <f aca="false">Orders!D19</f>
        <v>15</v>
      </c>
      <c r="E21" s="5" t="str">
        <f aca="false">Orders!E19</f>
        <v>North</v>
      </c>
      <c r="F21" s="10" t="str">
        <f aca="false">VLOOKUP(B21, Customers!$A$2:$C$9, 2, FALSE())</f>
        <v>Everline Foods</v>
      </c>
      <c r="G21" s="10" t="str">
        <f aca="false">VLOOKUP(C21, Products!$A$2:$C$7, 2, FALSE())</f>
        <v>Storage Bin (large)</v>
      </c>
      <c r="H21" s="11" t="n">
        <f aca="false">VLOOKUP(C21, Products!$A$2:$C$7, 3, FALSE())</f>
        <v>22</v>
      </c>
      <c r="I21" s="11" t="n">
        <f aca="false">D21*H21</f>
        <v>330</v>
      </c>
    </row>
    <row r="22" customFormat="false" ht="15" hidden="false" customHeight="false" outlineLevel="0" collapsed="false">
      <c r="A22" s="5" t="str">
        <f aca="false">Orders!A20</f>
        <v>O1019</v>
      </c>
      <c r="B22" s="5" t="str">
        <f aca="false">Orders!B20</f>
        <v>C003</v>
      </c>
      <c r="C22" s="5" t="str">
        <f aca="false">Orders!C20</f>
        <v>P104</v>
      </c>
      <c r="D22" s="5" t="n">
        <f aca="false">Orders!D20</f>
        <v>12</v>
      </c>
      <c r="E22" s="5" t="str">
        <f aca="false">Orders!E20</f>
        <v>South</v>
      </c>
      <c r="F22" s="10" t="str">
        <f aca="false">VLOOKUP(B22, Customers!$A$2:$C$9, 2, FALSE())</f>
        <v>Coastal Logistics</v>
      </c>
      <c r="G22" s="10" t="str">
        <f aca="false">VLOOKUP(C22, Products!$A$2:$C$7, 2, FALSE())</f>
        <v>Barcode Scanner</v>
      </c>
      <c r="H22" s="11" t="n">
        <f aca="false">VLOOKUP(C22, Products!$A$2:$C$7, 3, FALSE())</f>
        <v>95</v>
      </c>
      <c r="I22" s="11" t="n">
        <f aca="false">D22*H22</f>
        <v>1140</v>
      </c>
    </row>
    <row r="23" customFormat="false" ht="15" hidden="false" customHeight="false" outlineLevel="0" collapsed="false">
      <c r="A23" s="5" t="str">
        <f aca="false">Orders!A21</f>
        <v>O1020</v>
      </c>
      <c r="B23" s="5" t="str">
        <f aca="false">Orders!B21</f>
        <v>C003</v>
      </c>
      <c r="C23" s="5" t="str">
        <f aca="false">Orders!C21</f>
        <v>P103</v>
      </c>
      <c r="D23" s="5" t="n">
        <f aca="false">Orders!D21</f>
        <v>7</v>
      </c>
      <c r="E23" s="5" t="str">
        <f aca="false">Orders!E21</f>
        <v>East</v>
      </c>
      <c r="F23" s="10" t="str">
        <f aca="false">VLOOKUP(B23, Customers!$A$2:$C$9, 2, FALSE())</f>
        <v>Coastal Logistics</v>
      </c>
      <c r="G23" s="10" t="str">
        <f aca="false">VLOOKUP(C23, Products!$A$2:$C$7, 2, FALSE())</f>
        <v>Pallet Wrap (roll)</v>
      </c>
      <c r="H23" s="11" t="n">
        <f aca="false">VLOOKUP(C23, Products!$A$2:$C$7, 3, FALSE())</f>
        <v>18.75</v>
      </c>
      <c r="I23" s="11" t="n">
        <f aca="false">D23*H23</f>
        <v>131.25</v>
      </c>
    </row>
    <row r="26" customFormat="false" ht="17.35" hidden="false" customHeight="false" outlineLevel="0" collapsed="false">
      <c r="A26" s="1" t="s">
        <v>98</v>
      </c>
      <c r="B26" s="1"/>
      <c r="C26" s="1"/>
      <c r="D26" s="1"/>
      <c r="E26" s="1"/>
      <c r="F26" s="1"/>
    </row>
    <row r="28" customFormat="false" ht="15" hidden="false" customHeight="false" outlineLevel="0" collapsed="false">
      <c r="A28" s="4" t="s">
        <v>70</v>
      </c>
      <c r="B28" s="4" t="s">
        <v>36</v>
      </c>
      <c r="C28" s="4" t="s">
        <v>46</v>
      </c>
      <c r="D28" s="4" t="s">
        <v>39</v>
      </c>
      <c r="E28" s="4" t="s">
        <v>99</v>
      </c>
    </row>
    <row r="29" customFormat="false" ht="15" hidden="false" customHeight="false" outlineLevel="0" collapsed="false">
      <c r="A29" s="12" t="s">
        <v>73</v>
      </c>
      <c r="B29" s="6" t="n">
        <v>219.25</v>
      </c>
      <c r="C29" s="6" t="n">
        <v>56</v>
      </c>
      <c r="D29" s="6" t="n">
        <v>473</v>
      </c>
      <c r="E29" s="13" t="n">
        <v>748.25</v>
      </c>
    </row>
    <row r="30" customFormat="false" ht="15" hidden="false" customHeight="false" outlineLevel="0" collapsed="false">
      <c r="A30" s="12" t="s">
        <v>75</v>
      </c>
      <c r="B30" s="6" t="n">
        <v>0</v>
      </c>
      <c r="C30" s="6" t="n">
        <v>330</v>
      </c>
      <c r="D30" s="6" t="n">
        <v>1117.25</v>
      </c>
      <c r="E30" s="13" t="n">
        <v>1447.25</v>
      </c>
    </row>
    <row r="31" customFormat="false" ht="15" hidden="false" customHeight="false" outlineLevel="0" collapsed="false">
      <c r="A31" s="12" t="s">
        <v>78</v>
      </c>
      <c r="B31" s="6" t="n">
        <v>1232</v>
      </c>
      <c r="C31" s="6" t="n">
        <v>0</v>
      </c>
      <c r="D31" s="6" t="n">
        <v>21</v>
      </c>
      <c r="E31" s="13" t="n">
        <v>1253</v>
      </c>
    </row>
    <row r="32" customFormat="false" ht="15" hidden="false" customHeight="false" outlineLevel="0" collapsed="false">
      <c r="A32" s="12" t="s">
        <v>80</v>
      </c>
      <c r="B32" s="6" t="n">
        <v>431</v>
      </c>
      <c r="C32" s="6" t="n">
        <v>150</v>
      </c>
      <c r="D32" s="6" t="n">
        <v>25</v>
      </c>
      <c r="E32" s="13" t="n">
        <v>606</v>
      </c>
    </row>
    <row r="33" customFormat="false" ht="15" hidden="false" customHeight="false" outlineLevel="0" collapsed="false">
      <c r="A33" s="12" t="s">
        <v>99</v>
      </c>
      <c r="B33" s="13" t="n">
        <v>1882.25</v>
      </c>
      <c r="C33" s="13" t="n">
        <v>536</v>
      </c>
      <c r="D33" s="13" t="n">
        <v>1636.25</v>
      </c>
      <c r="E33" s="13" t="n">
        <v>4054.5</v>
      </c>
    </row>
    <row r="35" customFormat="false" ht="15" hidden="false" customHeight="false" outlineLevel="0" collapsed="false">
      <c r="A35" s="14" t="s">
        <v>100</v>
      </c>
      <c r="B35" s="14"/>
      <c r="C35" s="14"/>
      <c r="D35" s="14"/>
      <c r="E35" s="14"/>
      <c r="F35" s="14"/>
      <c r="G35" s="14"/>
      <c r="H35" s="14"/>
    </row>
  </sheetData>
  <mergeCells count="3">
    <mergeCell ref="A1:I1"/>
    <mergeCell ref="A26:F26"/>
    <mergeCell ref="A35:H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2026-10-02T05:39:12Z</dcterms:created>
  <dc:creator>openpyxl</dc:creator>
  <dc:description/>
  <dc:language>en-US</dc:language>
  <cp:lastModifiedBy/>
  <dcterms:modified xsi:type="dcterms:W3CDTF">2026-10-02T05:39:36Z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