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@HoneyPortfolio\"/>
    </mc:Choice>
  </mc:AlternateContent>
  <xr:revisionPtr revIDLastSave="0" documentId="13_ncr:1_{964F3CBF-676C-45F2-8172-E658B4624292}" xr6:coauthVersionLast="47" xr6:coauthVersionMax="47" xr10:uidLastSave="{00000000-0000-0000-0000-000000000000}"/>
  <bookViews>
    <workbookView xWindow="-120" yWindow="480" windowWidth="29040" windowHeight="15120" tabRatio="500" activeTab="1" xr2:uid="{00000000-000D-0000-FFFF-FFFF00000000}"/>
  </bookViews>
  <sheets>
    <sheet name="Instructions" sheetId="1" r:id="rId1"/>
    <sheet name="Targets" sheetId="2" r:id="rId2"/>
    <sheet name="Daily Tracker" sheetId="3" r:id="rId3"/>
    <sheet name="Dashbo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7" i="4" l="1"/>
  <c r="D27" i="4" s="1"/>
  <c r="B27" i="4"/>
  <c r="E27" i="4" s="1"/>
  <c r="C26" i="4"/>
  <c r="D26" i="4" s="1"/>
  <c r="B26" i="4"/>
  <c r="E26" i="4" s="1"/>
  <c r="C25" i="4"/>
  <c r="D25" i="4" s="1"/>
  <c r="B25" i="4"/>
  <c r="E25" i="4" s="1"/>
  <c r="C24" i="4"/>
  <c r="D24" i="4" s="1"/>
  <c r="B24" i="4"/>
  <c r="E24" i="4" s="1"/>
  <c r="C23" i="4"/>
  <c r="C22" i="4"/>
  <c r="D22" i="4" s="1"/>
  <c r="B22" i="4"/>
  <c r="E22" i="4" s="1"/>
  <c r="C21" i="4"/>
  <c r="D21" i="4" s="1"/>
  <c r="B21" i="4"/>
  <c r="E21" i="4" s="1"/>
  <c r="G12" i="4"/>
  <c r="D12" i="4"/>
  <c r="A12" i="4"/>
  <c r="G10" i="4"/>
  <c r="D10" i="4"/>
  <c r="A10" i="4"/>
  <c r="J8" i="4"/>
  <c r="G8" i="4"/>
  <c r="D8" i="4"/>
  <c r="A8" i="4"/>
  <c r="J6" i="4"/>
  <c r="D6" i="4"/>
  <c r="A6" i="4"/>
  <c r="L63" i="3"/>
  <c r="K63" i="3"/>
  <c r="J63" i="3"/>
  <c r="E63" i="3"/>
  <c r="L62" i="3"/>
  <c r="K62" i="3"/>
  <c r="J62" i="3"/>
  <c r="E62" i="3"/>
  <c r="L61" i="3"/>
  <c r="K61" i="3"/>
  <c r="J61" i="3"/>
  <c r="E61" i="3"/>
  <c r="L60" i="3"/>
  <c r="K60" i="3"/>
  <c r="J60" i="3"/>
  <c r="E60" i="3"/>
  <c r="L59" i="3"/>
  <c r="K59" i="3"/>
  <c r="J59" i="3"/>
  <c r="E59" i="3"/>
  <c r="L58" i="3"/>
  <c r="K58" i="3"/>
  <c r="J58" i="3"/>
  <c r="E58" i="3"/>
  <c r="L57" i="3"/>
  <c r="K57" i="3"/>
  <c r="J57" i="3"/>
  <c r="E57" i="3"/>
  <c r="L56" i="3"/>
  <c r="K56" i="3"/>
  <c r="J56" i="3"/>
  <c r="E56" i="3"/>
  <c r="L55" i="3"/>
  <c r="K55" i="3"/>
  <c r="J55" i="3"/>
  <c r="E55" i="3"/>
  <c r="L54" i="3"/>
  <c r="K54" i="3"/>
  <c r="J54" i="3"/>
  <c r="E54" i="3"/>
  <c r="L53" i="3"/>
  <c r="K53" i="3"/>
  <c r="J53" i="3"/>
  <c r="E53" i="3"/>
  <c r="L52" i="3"/>
  <c r="K52" i="3"/>
  <c r="J52" i="3"/>
  <c r="E52" i="3"/>
  <c r="L51" i="3"/>
  <c r="K51" i="3"/>
  <c r="J51" i="3"/>
  <c r="E51" i="3"/>
  <c r="L50" i="3"/>
  <c r="K50" i="3"/>
  <c r="J50" i="3"/>
  <c r="E50" i="3"/>
  <c r="L49" i="3"/>
  <c r="K49" i="3"/>
  <c r="J49" i="3"/>
  <c r="E49" i="3"/>
  <c r="L48" i="3"/>
  <c r="K48" i="3"/>
  <c r="J48" i="3"/>
  <c r="E48" i="3"/>
  <c r="L47" i="3"/>
  <c r="K47" i="3"/>
  <c r="J47" i="3"/>
  <c r="E47" i="3"/>
  <c r="L46" i="3"/>
  <c r="K46" i="3"/>
  <c r="J46" i="3"/>
  <c r="E46" i="3"/>
  <c r="L45" i="3"/>
  <c r="K45" i="3"/>
  <c r="J45" i="3"/>
  <c r="E45" i="3"/>
  <c r="L44" i="3"/>
  <c r="K44" i="3"/>
  <c r="J44" i="3"/>
  <c r="E44" i="3"/>
  <c r="L43" i="3"/>
  <c r="K43" i="3"/>
  <c r="J43" i="3"/>
  <c r="E43" i="3"/>
  <c r="L42" i="3"/>
  <c r="K42" i="3"/>
  <c r="J42" i="3"/>
  <c r="E42" i="3"/>
  <c r="L41" i="3"/>
  <c r="K41" i="3"/>
  <c r="J41" i="3"/>
  <c r="E41" i="3"/>
  <c r="L40" i="3"/>
  <c r="K40" i="3"/>
  <c r="J40" i="3"/>
  <c r="E40" i="3"/>
  <c r="L39" i="3"/>
  <c r="K39" i="3"/>
  <c r="J39" i="3"/>
  <c r="E39" i="3"/>
  <c r="L38" i="3"/>
  <c r="K38" i="3"/>
  <c r="J38" i="3"/>
  <c r="E38" i="3"/>
  <c r="L37" i="3"/>
  <c r="K37" i="3"/>
  <c r="J37" i="3"/>
  <c r="E37" i="3"/>
  <c r="L36" i="3"/>
  <c r="K36" i="3"/>
  <c r="J36" i="3"/>
  <c r="E36" i="3"/>
  <c r="L35" i="3"/>
  <c r="K35" i="3"/>
  <c r="J35" i="3"/>
  <c r="E35" i="3"/>
  <c r="L34" i="3"/>
  <c r="K34" i="3"/>
  <c r="J34" i="3"/>
  <c r="E34" i="3"/>
  <c r="L33" i="3"/>
  <c r="K33" i="3"/>
  <c r="J33" i="3"/>
  <c r="E33" i="3"/>
  <c r="L32" i="3"/>
  <c r="K32" i="3"/>
  <c r="J32" i="3"/>
  <c r="E32" i="3"/>
  <c r="L31" i="3"/>
  <c r="K31" i="3"/>
  <c r="J31" i="3"/>
  <c r="E31" i="3"/>
  <c r="L30" i="3"/>
  <c r="K30" i="3"/>
  <c r="J30" i="3"/>
  <c r="E30" i="3"/>
  <c r="L29" i="3"/>
  <c r="K29" i="3"/>
  <c r="J29" i="3"/>
  <c r="E29" i="3"/>
  <c r="L28" i="3"/>
  <c r="K28" i="3"/>
  <c r="J28" i="3"/>
  <c r="E28" i="3"/>
  <c r="L27" i="3"/>
  <c r="K27" i="3"/>
  <c r="J27" i="3"/>
  <c r="E27" i="3"/>
  <c r="L26" i="3"/>
  <c r="K26" i="3"/>
  <c r="J26" i="3"/>
  <c r="E26" i="3"/>
  <c r="L25" i="3"/>
  <c r="K25" i="3"/>
  <c r="J25" i="3"/>
  <c r="E25" i="3"/>
  <c r="L24" i="3"/>
  <c r="K24" i="3"/>
  <c r="J24" i="3"/>
  <c r="E24" i="3"/>
  <c r="L23" i="3"/>
  <c r="K23" i="3"/>
  <c r="J23" i="3"/>
  <c r="E23" i="3"/>
  <c r="L22" i="3"/>
  <c r="K22" i="3"/>
  <c r="J22" i="3"/>
  <c r="E22" i="3"/>
  <c r="L21" i="3"/>
  <c r="K21" i="3"/>
  <c r="J21" i="3"/>
  <c r="E21" i="3"/>
  <c r="L20" i="3"/>
  <c r="K20" i="3"/>
  <c r="J20" i="3"/>
  <c r="E20" i="3"/>
  <c r="L19" i="3"/>
  <c r="K19" i="3"/>
  <c r="J19" i="3"/>
  <c r="E19" i="3"/>
  <c r="L18" i="3"/>
  <c r="K18" i="3"/>
  <c r="J18" i="3"/>
  <c r="E18" i="3"/>
  <c r="L17" i="3"/>
  <c r="K17" i="3"/>
  <c r="J17" i="3"/>
  <c r="E17" i="3"/>
  <c r="L16" i="3"/>
  <c r="K16" i="3"/>
  <c r="J16" i="3"/>
  <c r="E16" i="3"/>
  <c r="L15" i="3"/>
  <c r="K15" i="3"/>
  <c r="J15" i="3"/>
  <c r="E15" i="3"/>
  <c r="L14" i="3"/>
  <c r="K14" i="3"/>
  <c r="J14" i="3"/>
  <c r="E14" i="3"/>
  <c r="L13" i="3"/>
  <c r="K13" i="3"/>
  <c r="J13" i="3"/>
  <c r="E13" i="3"/>
  <c r="L12" i="3"/>
  <c r="K12" i="3"/>
  <c r="J12" i="3"/>
  <c r="E12" i="3"/>
  <c r="L11" i="3"/>
  <c r="K11" i="3"/>
  <c r="J11" i="3"/>
  <c r="E11" i="3"/>
  <c r="L10" i="3"/>
  <c r="K10" i="3"/>
  <c r="J10" i="3"/>
  <c r="E10" i="3"/>
  <c r="L9" i="3"/>
  <c r="K9" i="3"/>
  <c r="J9" i="3"/>
  <c r="E9" i="3"/>
  <c r="L8" i="3"/>
  <c r="K8" i="3"/>
  <c r="J8" i="3"/>
  <c r="E8" i="3"/>
  <c r="L7" i="3"/>
  <c r="K7" i="3"/>
  <c r="J7" i="3"/>
  <c r="E7" i="3"/>
  <c r="L6" i="3"/>
  <c r="K6" i="3"/>
  <c r="J6" i="3"/>
  <c r="E6" i="3"/>
  <c r="L5" i="3"/>
  <c r="K5" i="3"/>
  <c r="J5" i="3"/>
  <c r="E5" i="3"/>
  <c r="L4" i="3"/>
  <c r="K4" i="3"/>
  <c r="J4" i="3"/>
  <c r="E4" i="3"/>
  <c r="K3" i="3"/>
  <c r="J3" i="3"/>
  <c r="E3" i="3"/>
  <c r="B23" i="4" l="1"/>
  <c r="G6" i="4"/>
  <c r="L3" i="3"/>
  <c r="E23" i="4" l="1"/>
  <c r="D23" i="4"/>
</calcChain>
</file>

<file path=xl/sharedStrings.xml><?xml version="1.0" encoding="utf-8"?>
<sst xmlns="http://schemas.openxmlformats.org/spreadsheetml/2006/main" count="99" uniqueCount="73">
  <si>
    <t>Agent KPI Tracker — Instructions</t>
  </si>
  <si>
    <t>WHAT THIS WORKBOOK DOES</t>
  </si>
  <si>
    <t>Tracks your daily performance on 7 KPIs: FCR, Resolution, AHT, Sentiment, Improvement</t>
  </si>
  <si>
    <t>Interaction, OSA, and Adherence. It flags which KPIs are below target and shows the gap</t>
  </si>
  <si>
    <t>to close for each one.</t>
  </si>
  <si>
    <t>HOW TO USE IT</t>
  </si>
  <si>
    <t>1. Go to the 'Targets' tab first and set your goal for each KPI (yellow cells only).</t>
  </si>
  <si>
    <t>2. Every day, go to 'Daily Tracker' and add a new row at the bottom with that day's date</t>
  </si>
  <si>
    <t xml:space="preserve">   and numbers. Only the YELLOW cells need input — everything else (status, colors)</t>
  </si>
  <si>
    <t xml:space="preserve">   calculates automatically.</t>
  </si>
  <si>
    <t>3. Check the 'Dashboard' tab any time to see your trend charts and the 'Needs Improvement'</t>
  </si>
  <si>
    <t xml:space="preserve">   panel, which shows how far each score is from target.</t>
  </si>
  <si>
    <t>CELL COLOR KEY</t>
  </si>
  <si>
    <t>Yellow fill + blue text  =  type your number here</t>
  </si>
  <si>
    <t>White fill + black text  =  calculated automatically, do not overwrite</t>
  </si>
  <si>
    <t>A NOTE ON THE CHARTS</t>
  </si>
  <si>
    <t>These are native Excel charts (not an actual Power BI .pbix file — that needs the Power BI</t>
  </si>
  <si>
    <t>application and a data model, not a spreadsheet). They're built to look and behave like a</t>
  </si>
  <si>
    <t>Power BI dashboard: KPI trend lines, color-coded status, and a target reference line. If you</t>
  </si>
  <si>
    <t>later want this as a real Power BI report, this workbook can be used directly as the data</t>
  </si>
  <si>
    <t>source — just connect Power BI Desktop to the 'Daily Tracker' tab.</t>
  </si>
  <si>
    <t>A NOTE ON FCR AND RESOLUTION</t>
  </si>
  <si>
    <t>These two scores come from the post-call email survey the customer is sent, and they choose</t>
  </si>
  <si>
    <t>whether to respond — so there's no 'take more calls' way to move them, and this workbook</t>
  </si>
  <si>
    <t>doesn't suggest one. Every KPI on this sheet is a score reported to you per day; none of</t>
  </si>
  <si>
    <t>them can be added to after the fact, so the Dashboard's Needs Improvement panel only ever</t>
  </si>
  <si>
    <t>shows the gap to target, not an action count.</t>
  </si>
  <si>
    <t>DEFINITIONS USED IN THIS WORKBOOK</t>
  </si>
  <si>
    <t>FCR % = First Contact Resolution rate reported from the customer's post-call email survey</t>
  </si>
  <si>
    <t>Resolution % = Case Resolution rate reported from the customer's post-call email survey</t>
  </si>
  <si>
    <t>AHT = Average Handle Time, entered in minutes:seconds (lower is better)</t>
  </si>
  <si>
    <t>Sentiment = your sentiment/CSAT score for the day (a plain number, higher is better)</t>
  </si>
  <si>
    <t>Improvement Interaction = count of coaching/improvement actions completed that day</t>
  </si>
  <si>
    <t xml:space="preserve">  (higher is better — this is work you did, not an error rate)</t>
  </si>
  <si>
    <t>OSA % = Overall Schedule Adherence to login/task plan (higher is better)</t>
  </si>
  <si>
    <t>Adherence % = Adherence to assigned schedule (higher is better)</t>
  </si>
  <si>
    <t>KPI</t>
  </si>
  <si>
    <t>Target</t>
  </si>
  <si>
    <t>Direction</t>
  </si>
  <si>
    <t>Notes</t>
  </si>
  <si>
    <t>FCR %</t>
  </si>
  <si>
    <t>Higher is better</t>
  </si>
  <si>
    <t>First Contact Resolution target</t>
  </si>
  <si>
    <t>Resolution %</t>
  </si>
  <si>
    <t>Case Resolution target</t>
  </si>
  <si>
    <t>AHT (minutes)</t>
  </si>
  <si>
    <t>Lower is better</t>
  </si>
  <si>
    <t>Average Handle Time target, in minutes</t>
  </si>
  <si>
    <t>Sentiment</t>
  </si>
  <si>
    <t>Customer sentiment / CSAT target</t>
  </si>
  <si>
    <t>Improvement Interaction</t>
  </si>
  <si>
    <t>Min. coaching/improvement actions per day</t>
  </si>
  <si>
    <t>OSA %</t>
  </si>
  <si>
    <t>Overall Schedule Adherence target</t>
  </si>
  <si>
    <t>Adherence %</t>
  </si>
  <si>
    <t>Schedule Adherence target</t>
  </si>
  <si>
    <t>DAILY KPI TRACKER — enter new data in a new row each day</t>
  </si>
  <si>
    <t>Date</t>
  </si>
  <si>
    <t>AHT (mm:ss)</t>
  </si>
  <si>
    <t>AHT (min)</t>
  </si>
  <si>
    <t>Improvement
Interaction</t>
  </si>
  <si>
    <t>FCR Status</t>
  </si>
  <si>
    <t>Resolution Status</t>
  </si>
  <si>
    <t>Overall Status</t>
  </si>
  <si>
    <t>00:05:30</t>
  </si>
  <si>
    <t>PERFORMANCE DASHBOARD</t>
  </si>
  <si>
    <t>LATEST DAY SNAPSHOT</t>
  </si>
  <si>
    <t>NEEDS IMPROVEMENT — GAP TO TARGET</t>
  </si>
  <si>
    <t>All scores below are reported to you daily (FCR/Resolution via the customer's post-call email survey, the rest via your system/third-party report) — none can be added to after the fact, so this panel shows the gap to close, not a call count to hit.</t>
  </si>
  <si>
    <t>Current</t>
  </si>
  <si>
    <t>Gap</t>
  </si>
  <si>
    <t>Status / Note</t>
  </si>
  <si>
    <t>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</si>
</sst>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mm/dd/yyyy"/>
    <numFmt numFmtId="167" formatCode="hh:mm:ss"/>
  </numFmts>
  <fonts count="20" x14ac:knownFonts="1">
    <font>
      <sz val="11"/>
      <color theme="1"/>
      <name val="Calibri"/>
      <family val="2"/>
      <charset val="1"/>
    </font>
    <font>
      <b/>
      <sz val="18"/>
      <color rgb="FF1F2A44"/>
      <name val="Arial"/>
      <charset val="1"/>
    </font>
    <font>
      <sz val="10"/>
      <color rgb="FF333333"/>
      <name val="Arial"/>
      <charset val="1"/>
    </font>
    <font>
      <b/>
      <sz val="11"/>
      <color rgb="FF1F2A44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10"/>
      <name val="Arial"/>
      <charset val="1"/>
    </font>
    <font>
      <sz val="9"/>
      <color rgb="FF666666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i/>
      <sz val="10"/>
      <color rgb="FF555555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6"/>
      <color rgb="FFFFFFFF"/>
      <name val="Arial"/>
      <charset val="1"/>
    </font>
    <font>
      <b/>
      <sz val="12"/>
      <color rgb="FF1F2A44"/>
      <name val="Arial"/>
      <charset val="1"/>
    </font>
    <font>
      <b/>
      <sz val="9"/>
      <color rgb="FFFFFFFF"/>
      <name val="Arial"/>
      <charset val="1"/>
    </font>
    <font>
      <b/>
      <sz val="16"/>
      <color rgb="FF2E75B6"/>
      <name val="Arial"/>
      <charset val="1"/>
    </font>
    <font>
      <i/>
      <sz val="8"/>
      <color rgb="FF666666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333333"/>
      </patternFill>
    </fill>
    <fill>
      <patternFill patternType="solid">
        <fgColor rgb="FFFFF9E5"/>
        <bgColor rgb="FFFFFFFF"/>
      </patternFill>
    </fill>
    <fill>
      <patternFill patternType="solid">
        <fgColor rgb="FFE8EEF7"/>
        <bgColor rgb="FFFFF9E5"/>
      </patternFill>
    </fill>
    <fill>
      <patternFill patternType="solid">
        <fgColor rgb="FF2E3B5E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8" fillId="0" borderId="0" xfId="0" applyFont="1" applyAlignment="1">
      <alignment wrapText="1"/>
    </xf>
    <xf numFmtId="1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2" fontId="17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/>
    <xf numFmtId="164" fontId="6" fillId="3" borderId="1" xfId="0" applyNumberFormat="1" applyFont="1" applyFill="1" applyBorder="1"/>
    <xf numFmtId="0" fontId="7" fillId="0" borderId="1" xfId="0" applyFont="1" applyBorder="1"/>
    <xf numFmtId="0" fontId="8" fillId="0" borderId="1" xfId="0" applyFont="1" applyBorder="1"/>
    <xf numFmtId="165" fontId="6" fillId="3" borderId="1" xfId="0" applyNumberFormat="1" applyFont="1" applyFill="1" applyBorder="1"/>
    <xf numFmtId="1" fontId="6" fillId="3" borderId="1" xfId="0" applyNumberFormat="1" applyFont="1" applyFill="1" applyBorder="1"/>
    <xf numFmtId="0" fontId="10" fillId="2" borderId="0" xfId="0" applyFont="1" applyFill="1" applyAlignment="1">
      <alignment horizontal="center" vertical="center" wrapText="1"/>
    </xf>
    <xf numFmtId="166" fontId="11" fillId="4" borderId="1" xfId="0" applyNumberFormat="1" applyFont="1" applyFill="1" applyBorder="1"/>
    <xf numFmtId="164" fontId="11" fillId="4" borderId="1" xfId="0" applyNumberFormat="1" applyFont="1" applyFill="1" applyBorder="1"/>
    <xf numFmtId="167" fontId="11" fillId="4" borderId="1" xfId="0" applyNumberFormat="1" applyFont="1" applyFill="1" applyBorder="1"/>
    <xf numFmtId="2" fontId="12" fillId="4" borderId="1" xfId="0" applyNumberFormat="1" applyFont="1" applyFill="1" applyBorder="1"/>
    <xf numFmtId="2" fontId="11" fillId="4" borderId="1" xfId="0" applyNumberFormat="1" applyFont="1" applyFill="1" applyBorder="1"/>
    <xf numFmtId="0" fontId="11" fillId="4" borderId="1" xfId="0" applyFont="1" applyFill="1" applyBorder="1"/>
    <xf numFmtId="0" fontId="13" fillId="0" borderId="1" xfId="0" applyFont="1" applyBorder="1" applyAlignment="1">
      <alignment horizontal="center"/>
    </xf>
    <xf numFmtId="166" fontId="6" fillId="3" borderId="1" xfId="0" applyNumberFormat="1" applyFont="1" applyFill="1" applyBorder="1"/>
    <xf numFmtId="167" fontId="6" fillId="3" borderId="1" xfId="0" applyNumberFormat="1" applyFont="1" applyFill="1" applyBorder="1"/>
    <xf numFmtId="2" fontId="12" fillId="0" borderId="1" xfId="0" applyNumberFormat="1" applyFont="1" applyBorder="1"/>
    <xf numFmtId="2" fontId="6" fillId="3" borderId="1" xfId="0" applyNumberFormat="1" applyFont="1" applyFill="1" applyBorder="1"/>
    <xf numFmtId="0" fontId="6" fillId="3" borderId="1" xfId="0" applyFont="1" applyFill="1" applyBorder="1"/>
    <xf numFmtId="0" fontId="15" fillId="0" borderId="0" xfId="0" applyFont="1"/>
    <xf numFmtId="164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vertical="center" wrapText="1"/>
    </xf>
    <xf numFmtId="2" fontId="19" fillId="0" borderId="1" xfId="0" applyNumberFormat="1" applyFont="1" applyBorder="1" applyAlignment="1">
      <alignment horizontal="center"/>
    </xf>
    <xf numFmtId="1" fontId="19" fillId="0" borderId="1" xfId="0" applyNumberFormat="1" applyFont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9E5"/>
      <rgbColor rgb="FFE8EE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C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2A900"/>
      <rgbColor rgb="FFE15759"/>
      <rgbColor rgb="FF666666"/>
      <rgbColor rgb="FF969696"/>
      <rgbColor rgb="FF1F2A44"/>
      <rgbColor rgb="FF4CAF50"/>
      <rgbColor rgb="FF003300"/>
      <rgbColor rgb="FF555555"/>
      <rgbColor rgb="FF993300"/>
      <rgbColor rgb="FF993366"/>
      <rgbColor rgb="FF2E3B5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FCR %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Tracker'!$B$2</c:f>
              <c:strCache>
                <c:ptCount val="1"/>
                <c:pt idx="0">
                  <c:v>FCR %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Tracker'!$A$3:$A$63</c:f>
              <c:numCache>
                <c:formatCode>mm/dd/yyyy</c:formatCode>
                <c:ptCount val="61"/>
                <c:pt idx="0">
                  <c:v>46296</c:v>
                </c:pt>
                <c:pt idx="1">
                  <c:v>46309</c:v>
                </c:pt>
              </c:numCache>
            </c:numRef>
          </c:cat>
          <c:val>
            <c:numRef>
              <c:f>'Daily Tracker'!$B$3:$B$63</c:f>
              <c:numCache>
                <c:formatCode>0.0%</c:formatCode>
                <c:ptCount val="61"/>
                <c:pt idx="0">
                  <c:v>0.8</c:v>
                </c:pt>
                <c:pt idx="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A8-4860-AAE1-AB5C36F07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206433"/>
        <c:axId val="892316"/>
      </c:lineChart>
      <c:dateAx>
        <c:axId val="3206433"/>
        <c:scaling>
          <c:orientation val="minMax"/>
        </c:scaling>
        <c:delete val="0"/>
        <c:axPos val="b"/>
        <c:numFmt formatCode="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316"/>
        <c:crosses val="autoZero"/>
        <c:auto val="1"/>
        <c:lblOffset val="100"/>
        <c:baseTimeUnit val="days"/>
      </c:dateAx>
      <c:valAx>
        <c:axId val="8923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064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Resolution %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Tracker'!$C$2</c:f>
              <c:strCache>
                <c:ptCount val="1"/>
                <c:pt idx="0">
                  <c:v>Resolution %</c:v>
                </c:pt>
              </c:strCache>
            </c:strRef>
          </c:tx>
          <c:spPr>
            <a:ln w="20160">
              <a:solidFill>
                <a:srgbClr val="4CAF50"/>
              </a:solidFill>
              <a:round/>
            </a:ln>
          </c:spPr>
          <c:marker>
            <c:symbol val="circle"/>
            <c:size val="5"/>
            <c:spPr>
              <a:solidFill>
                <a:srgbClr val="4CAF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Tracker'!$A$3:$A$63</c:f>
              <c:numCache>
                <c:formatCode>mm/dd/yyyy</c:formatCode>
                <c:ptCount val="61"/>
                <c:pt idx="0">
                  <c:v>46296</c:v>
                </c:pt>
                <c:pt idx="1">
                  <c:v>46309</c:v>
                </c:pt>
              </c:numCache>
            </c:numRef>
          </c:cat>
          <c:val>
            <c:numRef>
              <c:f>'Daily Tracker'!$C$3:$C$63</c:f>
              <c:numCache>
                <c:formatCode>0.0%</c:formatCode>
                <c:ptCount val="61"/>
                <c:pt idx="0">
                  <c:v>0.91</c:v>
                </c:pt>
                <c:pt idx="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D-4A3F-8889-E2A11A725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287124"/>
        <c:axId val="37522601"/>
      </c:lineChart>
      <c:dateAx>
        <c:axId val="99287124"/>
        <c:scaling>
          <c:orientation val="minMax"/>
        </c:scaling>
        <c:delete val="0"/>
        <c:axPos val="b"/>
        <c:numFmt formatCode="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22601"/>
        <c:crosses val="autoZero"/>
        <c:auto val="1"/>
        <c:lblOffset val="100"/>
        <c:baseTimeUnit val="days"/>
      </c:dateAx>
      <c:valAx>
        <c:axId val="375226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2871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AHT (minutes)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Tracker'!$E$2</c:f>
              <c:strCache>
                <c:ptCount val="1"/>
                <c:pt idx="0">
                  <c:v>AHT (min)</c:v>
                </c:pt>
              </c:strCache>
            </c:strRef>
          </c:tx>
          <c:spPr>
            <a:ln w="20160">
              <a:solidFill>
                <a:srgbClr val="F2A900"/>
              </a:solidFill>
              <a:round/>
            </a:ln>
          </c:spPr>
          <c:marker>
            <c:symbol val="circle"/>
            <c:size val="5"/>
            <c:spPr>
              <a:solidFill>
                <a:srgbClr val="F2A9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Tracker'!$A$3:$A$63</c:f>
              <c:numCache>
                <c:formatCode>mm/dd/yyyy</c:formatCode>
                <c:ptCount val="61"/>
                <c:pt idx="0">
                  <c:v>46296</c:v>
                </c:pt>
                <c:pt idx="1">
                  <c:v>46309</c:v>
                </c:pt>
              </c:numCache>
            </c:numRef>
          </c:cat>
          <c:val>
            <c:numRef>
              <c:f>'Daily Tracker'!$E$3:$E$63</c:f>
              <c:numCache>
                <c:formatCode>0.00</c:formatCode>
                <c:ptCount val="61"/>
                <c:pt idx="0">
                  <c:v>5.5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EA-4DA0-9AD5-A6A981F04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823315"/>
        <c:axId val="54677889"/>
      </c:lineChart>
      <c:dateAx>
        <c:axId val="26823315"/>
        <c:scaling>
          <c:orientation val="minMax"/>
        </c:scaling>
        <c:delete val="0"/>
        <c:axPos val="b"/>
        <c:numFmt formatCode="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677889"/>
        <c:crosses val="autoZero"/>
        <c:auto val="1"/>
        <c:lblOffset val="100"/>
        <c:baseTimeUnit val="days"/>
      </c:dateAx>
      <c:valAx>
        <c:axId val="546778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8233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Sentiment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Tracker'!$F$2</c:f>
              <c:strCache>
                <c:ptCount val="1"/>
                <c:pt idx="0">
                  <c:v>Sentiment</c:v>
                </c:pt>
              </c:strCache>
            </c:strRef>
          </c:tx>
          <c:spPr>
            <a:ln w="20160">
              <a:solidFill>
                <a:srgbClr val="E15759"/>
              </a:solidFill>
              <a:round/>
            </a:ln>
          </c:spPr>
          <c:marker>
            <c:symbol val="circle"/>
            <c:size val="5"/>
            <c:spPr>
              <a:solidFill>
                <a:srgbClr val="E1575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Tracker'!$A$3:$A$63</c:f>
              <c:numCache>
                <c:formatCode>mm/dd/yyyy</c:formatCode>
                <c:ptCount val="61"/>
                <c:pt idx="0">
                  <c:v>46296</c:v>
                </c:pt>
                <c:pt idx="1">
                  <c:v>46309</c:v>
                </c:pt>
              </c:numCache>
            </c:numRef>
          </c:cat>
          <c:val>
            <c:numRef>
              <c:f>'Daily Tracker'!$F$3:$F$63</c:f>
              <c:numCache>
                <c:formatCode>0.00</c:formatCode>
                <c:ptCount val="61"/>
                <c:pt idx="0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4-4881-AEA7-8C596E3EE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0898011"/>
        <c:axId val="38788999"/>
      </c:lineChart>
      <c:dateAx>
        <c:axId val="50898011"/>
        <c:scaling>
          <c:orientation val="minMax"/>
        </c:scaling>
        <c:delete val="0"/>
        <c:axPos val="b"/>
        <c:numFmt formatCode="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788999"/>
        <c:crosses val="autoZero"/>
        <c:auto val="1"/>
        <c:lblOffset val="100"/>
        <c:baseTimeUnit val="days"/>
      </c:dateAx>
      <c:valAx>
        <c:axId val="38788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8980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OSA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Tracker'!$H$2</c:f>
              <c:strCache>
                <c:ptCount val="1"/>
                <c:pt idx="0">
                  <c:v>OSA %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Tracker'!$A$3:$A$63</c:f>
              <c:numCache>
                <c:formatCode>mm/dd/yyyy</c:formatCode>
                <c:ptCount val="61"/>
                <c:pt idx="0">
                  <c:v>46296</c:v>
                </c:pt>
                <c:pt idx="1">
                  <c:v>46309</c:v>
                </c:pt>
              </c:numCache>
            </c:numRef>
          </c:cat>
          <c:val>
            <c:numRef>
              <c:f>'Daily Tracker'!$H$3:$H$63</c:f>
              <c:numCache>
                <c:formatCode>0.0%</c:formatCode>
                <c:ptCount val="61"/>
                <c:pt idx="0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D2-493A-8B15-C37F0CCBA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3274593"/>
        <c:axId val="81668416"/>
      </c:lineChart>
      <c:dateAx>
        <c:axId val="13274593"/>
        <c:scaling>
          <c:orientation val="minMax"/>
        </c:scaling>
        <c:delete val="0"/>
        <c:axPos val="b"/>
        <c:numFmt formatCode="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668416"/>
        <c:crosses val="autoZero"/>
        <c:auto val="1"/>
        <c:lblOffset val="100"/>
        <c:baseTimeUnit val="days"/>
      </c:dateAx>
      <c:valAx>
        <c:axId val="816684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2745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Adherence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Tracker'!$I$2</c:f>
              <c:strCache>
                <c:ptCount val="1"/>
                <c:pt idx="0">
                  <c:v>Adherence %</c:v>
                </c:pt>
              </c:strCache>
            </c:strRef>
          </c:tx>
          <c:spPr>
            <a:ln w="20160">
              <a:solidFill>
                <a:srgbClr val="4CAF50"/>
              </a:solidFill>
              <a:round/>
            </a:ln>
          </c:spPr>
          <c:marker>
            <c:symbol val="circle"/>
            <c:size val="5"/>
            <c:spPr>
              <a:solidFill>
                <a:srgbClr val="4CAF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Tracker'!$A$3:$A$63</c:f>
              <c:numCache>
                <c:formatCode>mm/dd/yyyy</c:formatCode>
                <c:ptCount val="61"/>
                <c:pt idx="0">
                  <c:v>46296</c:v>
                </c:pt>
                <c:pt idx="1">
                  <c:v>46309</c:v>
                </c:pt>
              </c:numCache>
            </c:numRef>
          </c:cat>
          <c:val>
            <c:numRef>
              <c:f>'Daily Tracker'!$I$3:$I$63</c:f>
              <c:numCache>
                <c:formatCode>0.0%</c:formatCode>
                <c:ptCount val="61"/>
                <c:pt idx="0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99-433B-B0D9-B3C305C1D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2607519"/>
        <c:axId val="22615573"/>
      </c:lineChart>
      <c:dateAx>
        <c:axId val="72607519"/>
        <c:scaling>
          <c:orientation val="minMax"/>
        </c:scaling>
        <c:delete val="0"/>
        <c:axPos val="b"/>
        <c:numFmt formatCode="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15573"/>
        <c:crosses val="autoZero"/>
        <c:auto val="1"/>
        <c:lblOffset val="100"/>
        <c:baseTimeUnit val="days"/>
      </c:dateAx>
      <c:valAx>
        <c:axId val="226155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6075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Improvement Interaction (count)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Tracker'!$G$2</c:f>
              <c:strCache>
                <c:ptCount val="1"/>
                <c:pt idx="0">
                  <c:v>Improvement
Interaction</c:v>
                </c:pt>
              </c:strCache>
            </c:strRef>
          </c:tx>
          <c:spPr>
            <a:ln w="20160">
              <a:solidFill>
                <a:srgbClr val="F2A900"/>
              </a:solidFill>
              <a:round/>
            </a:ln>
          </c:spPr>
          <c:marker>
            <c:symbol val="circle"/>
            <c:size val="5"/>
            <c:spPr>
              <a:solidFill>
                <a:srgbClr val="F2A9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'Daily Tracker'!$A$3:$A$63</c:f>
              <c:numCache>
                <c:formatCode>mm/dd/yyyy</c:formatCode>
                <c:ptCount val="61"/>
                <c:pt idx="0">
                  <c:v>46296</c:v>
                </c:pt>
                <c:pt idx="1">
                  <c:v>46309</c:v>
                </c:pt>
              </c:numCache>
            </c:numRef>
          </c:cat>
          <c:val>
            <c:numRef>
              <c:f>'Daily Tracker'!$G$3:$G$63</c:f>
              <c:numCache>
                <c:formatCode>General</c:formatCode>
                <c:ptCount val="61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5-4D18-BFD2-48D94F2BE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1991085"/>
        <c:axId val="52429705"/>
      </c:lineChart>
      <c:dateAx>
        <c:axId val="81991085"/>
        <c:scaling>
          <c:orientation val="minMax"/>
        </c:scaling>
        <c:delete val="0"/>
        <c:axPos val="b"/>
        <c:numFmt formatCode="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429705"/>
        <c:crosses val="autoZero"/>
        <c:auto val="1"/>
        <c:lblOffset val="100"/>
        <c:baseTimeUnit val="days"/>
      </c:dateAx>
      <c:valAx>
        <c:axId val="524297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91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97200</xdr:rowOff>
    </xdr:from>
    <xdr:to>
      <xdr:col>4</xdr:col>
      <xdr:colOff>1797480</xdr:colOff>
      <xdr:row>44</xdr:row>
      <xdr:rowOff>129960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30</xdr:row>
      <xdr:rowOff>97200</xdr:rowOff>
    </xdr:from>
    <xdr:to>
      <xdr:col>13</xdr:col>
      <xdr:colOff>551160</xdr:colOff>
      <xdr:row>44</xdr:row>
      <xdr:rowOff>129960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46</xdr:row>
      <xdr:rowOff>97200</xdr:rowOff>
    </xdr:from>
    <xdr:to>
      <xdr:col>4</xdr:col>
      <xdr:colOff>1797480</xdr:colOff>
      <xdr:row>60</xdr:row>
      <xdr:rowOff>129960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46</xdr:row>
      <xdr:rowOff>97200</xdr:rowOff>
    </xdr:from>
    <xdr:to>
      <xdr:col>13</xdr:col>
      <xdr:colOff>551160</xdr:colOff>
      <xdr:row>60</xdr:row>
      <xdr:rowOff>129960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62</xdr:row>
      <xdr:rowOff>97200</xdr:rowOff>
    </xdr:from>
    <xdr:to>
      <xdr:col>4</xdr:col>
      <xdr:colOff>1797480</xdr:colOff>
      <xdr:row>76</xdr:row>
      <xdr:rowOff>129600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62</xdr:row>
      <xdr:rowOff>97200</xdr:rowOff>
    </xdr:from>
    <xdr:to>
      <xdr:col>13</xdr:col>
      <xdr:colOff>551160</xdr:colOff>
      <xdr:row>76</xdr:row>
      <xdr:rowOff>129600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78</xdr:row>
      <xdr:rowOff>97200</xdr:rowOff>
    </xdr:from>
    <xdr:to>
      <xdr:col>4</xdr:col>
      <xdr:colOff>1797480</xdr:colOff>
      <xdr:row>92</xdr:row>
      <xdr:rowOff>129960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showGridLines="0" topLeftCell="A16" zoomScaleNormal="100" workbookViewId="0"/>
  </sheetViews>
  <sheetFormatPr defaultColWidth="8.7109375" defaultRowHeight="15" x14ac:dyDescent="0.25"/>
  <cols>
    <col min="1" max="1" width="100" customWidth="1"/>
  </cols>
  <sheetData>
    <row r="1" spans="1:1" ht="23.25" x14ac:dyDescent="0.35">
      <c r="A1" s="9" t="s">
        <v>0</v>
      </c>
    </row>
    <row r="3" spans="1:1" x14ac:dyDescent="0.25">
      <c r="A3" s="10"/>
    </row>
    <row r="4" spans="1:1" x14ac:dyDescent="0.25">
      <c r="A4" s="11" t="s">
        <v>1</v>
      </c>
    </row>
    <row r="5" spans="1:1" x14ac:dyDescent="0.25">
      <c r="A5" s="10" t="s">
        <v>2</v>
      </c>
    </row>
    <row r="6" spans="1:1" x14ac:dyDescent="0.25">
      <c r="A6" s="10" t="s">
        <v>3</v>
      </c>
    </row>
    <row r="7" spans="1:1" x14ac:dyDescent="0.25">
      <c r="A7" s="10" t="s">
        <v>4</v>
      </c>
    </row>
    <row r="8" spans="1:1" x14ac:dyDescent="0.25">
      <c r="A8" s="10"/>
    </row>
    <row r="9" spans="1:1" x14ac:dyDescent="0.25">
      <c r="A9" s="11" t="s">
        <v>5</v>
      </c>
    </row>
    <row r="10" spans="1:1" x14ac:dyDescent="0.25">
      <c r="A10" s="10" t="s">
        <v>6</v>
      </c>
    </row>
    <row r="11" spans="1:1" x14ac:dyDescent="0.25">
      <c r="A11" s="10" t="s">
        <v>7</v>
      </c>
    </row>
    <row r="12" spans="1:1" x14ac:dyDescent="0.25">
      <c r="A12" s="10" t="s">
        <v>8</v>
      </c>
    </row>
    <row r="13" spans="1:1" x14ac:dyDescent="0.25">
      <c r="A13" s="10" t="s">
        <v>9</v>
      </c>
    </row>
    <row r="14" spans="1:1" x14ac:dyDescent="0.25">
      <c r="A14" s="10" t="s">
        <v>10</v>
      </c>
    </row>
    <row r="15" spans="1:1" x14ac:dyDescent="0.25">
      <c r="A15" s="10" t="s">
        <v>11</v>
      </c>
    </row>
    <row r="16" spans="1:1" x14ac:dyDescent="0.25">
      <c r="A16" s="10"/>
    </row>
    <row r="17" spans="1:1" x14ac:dyDescent="0.25">
      <c r="A17" s="11" t="s">
        <v>12</v>
      </c>
    </row>
    <row r="18" spans="1:1" x14ac:dyDescent="0.25">
      <c r="A18" s="10" t="s">
        <v>13</v>
      </c>
    </row>
    <row r="19" spans="1:1" x14ac:dyDescent="0.25">
      <c r="A19" s="10" t="s">
        <v>14</v>
      </c>
    </row>
    <row r="20" spans="1:1" x14ac:dyDescent="0.25">
      <c r="A20" s="10"/>
    </row>
    <row r="21" spans="1:1" x14ac:dyDescent="0.25">
      <c r="A21" s="11" t="s">
        <v>15</v>
      </c>
    </row>
    <row r="22" spans="1:1" x14ac:dyDescent="0.25">
      <c r="A22" s="10" t="s">
        <v>16</v>
      </c>
    </row>
    <row r="23" spans="1:1" x14ac:dyDescent="0.25">
      <c r="A23" s="10" t="s">
        <v>17</v>
      </c>
    </row>
    <row r="24" spans="1:1" x14ac:dyDescent="0.25">
      <c r="A24" s="10" t="s">
        <v>18</v>
      </c>
    </row>
    <row r="25" spans="1:1" x14ac:dyDescent="0.25">
      <c r="A25" s="10" t="s">
        <v>19</v>
      </c>
    </row>
    <row r="26" spans="1:1" x14ac:dyDescent="0.25">
      <c r="A26" s="10" t="s">
        <v>20</v>
      </c>
    </row>
    <row r="27" spans="1:1" x14ac:dyDescent="0.25">
      <c r="A27" s="10"/>
    </row>
    <row r="28" spans="1:1" x14ac:dyDescent="0.25">
      <c r="A28" s="11" t="s">
        <v>21</v>
      </c>
    </row>
    <row r="29" spans="1:1" x14ac:dyDescent="0.25">
      <c r="A29" s="10" t="s">
        <v>22</v>
      </c>
    </row>
    <row r="30" spans="1:1" x14ac:dyDescent="0.25">
      <c r="A30" s="10" t="s">
        <v>23</v>
      </c>
    </row>
    <row r="31" spans="1:1" x14ac:dyDescent="0.25">
      <c r="A31" s="10" t="s">
        <v>24</v>
      </c>
    </row>
    <row r="32" spans="1:1" x14ac:dyDescent="0.25">
      <c r="A32" s="10" t="s">
        <v>25</v>
      </c>
    </row>
    <row r="33" spans="1:1" x14ac:dyDescent="0.25">
      <c r="A33" s="10" t="s">
        <v>26</v>
      </c>
    </row>
    <row r="34" spans="1:1" x14ac:dyDescent="0.25">
      <c r="A34" s="10"/>
    </row>
    <row r="35" spans="1:1" x14ac:dyDescent="0.25">
      <c r="A35" s="11" t="s">
        <v>27</v>
      </c>
    </row>
    <row r="36" spans="1:1" x14ac:dyDescent="0.25">
      <c r="A36" s="10" t="s">
        <v>28</v>
      </c>
    </row>
    <row r="37" spans="1:1" x14ac:dyDescent="0.25">
      <c r="A37" s="10" t="s">
        <v>29</v>
      </c>
    </row>
    <row r="38" spans="1:1" x14ac:dyDescent="0.25">
      <c r="A38" s="10" t="s">
        <v>30</v>
      </c>
    </row>
    <row r="39" spans="1:1" x14ac:dyDescent="0.25">
      <c r="A39" s="10" t="s">
        <v>31</v>
      </c>
    </row>
    <row r="40" spans="1:1" x14ac:dyDescent="0.25">
      <c r="A40" s="10" t="s">
        <v>32</v>
      </c>
    </row>
    <row r="41" spans="1:1" x14ac:dyDescent="0.25">
      <c r="A41" s="10" t="s">
        <v>33</v>
      </c>
    </row>
    <row r="42" spans="1:1" x14ac:dyDescent="0.25">
      <c r="A42" s="10" t="s">
        <v>34</v>
      </c>
    </row>
    <row r="43" spans="1:1" x14ac:dyDescent="0.25">
      <c r="A43" s="10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tabSelected="1" zoomScaleNormal="100" workbookViewId="0">
      <selection activeCell="C15" sqref="C15"/>
    </sheetView>
  </sheetViews>
  <sheetFormatPr defaultColWidth="8.7109375" defaultRowHeight="15" x14ac:dyDescent="0.25"/>
  <cols>
    <col min="1" max="1" width="24" customWidth="1"/>
    <col min="2" max="2" width="12" customWidth="1"/>
    <col min="3" max="3" width="16" customWidth="1"/>
    <col min="4" max="4" width="42" customWidth="1"/>
  </cols>
  <sheetData>
    <row r="1" spans="1:4" x14ac:dyDescent="0.25">
      <c r="A1" s="12" t="s">
        <v>36</v>
      </c>
      <c r="B1" s="12" t="s">
        <v>37</v>
      </c>
      <c r="C1" s="12" t="s">
        <v>38</v>
      </c>
      <c r="D1" s="12" t="s">
        <v>39</v>
      </c>
    </row>
    <row r="2" spans="1:4" x14ac:dyDescent="0.25">
      <c r="A2" s="13" t="s">
        <v>40</v>
      </c>
      <c r="B2" s="14">
        <v>0.65</v>
      </c>
      <c r="C2" s="15" t="s">
        <v>41</v>
      </c>
      <c r="D2" s="16" t="s">
        <v>42</v>
      </c>
    </row>
    <row r="3" spans="1:4" x14ac:dyDescent="0.25">
      <c r="A3" s="13" t="s">
        <v>43</v>
      </c>
      <c r="B3" s="14">
        <v>0.8</v>
      </c>
      <c r="C3" s="15" t="s">
        <v>41</v>
      </c>
      <c r="D3" s="16" t="s">
        <v>44</v>
      </c>
    </row>
    <row r="4" spans="1:4" x14ac:dyDescent="0.25">
      <c r="A4" s="13" t="s">
        <v>45</v>
      </c>
      <c r="B4" s="17">
        <v>365</v>
      </c>
      <c r="C4" s="15" t="s">
        <v>46</v>
      </c>
      <c r="D4" s="16" t="s">
        <v>47</v>
      </c>
    </row>
    <row r="5" spans="1:4" x14ac:dyDescent="0.25">
      <c r="A5" s="13" t="s">
        <v>48</v>
      </c>
      <c r="B5" s="30">
        <v>1.5</v>
      </c>
      <c r="C5" s="15" t="s">
        <v>41</v>
      </c>
      <c r="D5" s="16" t="s">
        <v>49</v>
      </c>
    </row>
    <row r="6" spans="1:4" x14ac:dyDescent="0.25">
      <c r="A6" s="13" t="s">
        <v>50</v>
      </c>
      <c r="B6" s="18">
        <v>2</v>
      </c>
      <c r="C6" s="15" t="s">
        <v>41</v>
      </c>
      <c r="D6" s="16" t="s">
        <v>51</v>
      </c>
    </row>
    <row r="7" spans="1:4" x14ac:dyDescent="0.25">
      <c r="A7" s="13" t="s">
        <v>52</v>
      </c>
      <c r="B7" s="14">
        <v>0.87</v>
      </c>
      <c r="C7" s="15" t="s">
        <v>41</v>
      </c>
      <c r="D7" s="16" t="s">
        <v>53</v>
      </c>
    </row>
    <row r="8" spans="1:4" x14ac:dyDescent="0.25">
      <c r="A8" s="13" t="s">
        <v>54</v>
      </c>
      <c r="B8" s="14">
        <v>0.95</v>
      </c>
      <c r="C8" s="15" t="s">
        <v>41</v>
      </c>
      <c r="D8" s="16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3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4" sqref="D4"/>
    </sheetView>
  </sheetViews>
  <sheetFormatPr defaultColWidth="8.7109375" defaultRowHeight="15" x14ac:dyDescent="0.25"/>
  <cols>
    <col min="1" max="1" width="12" customWidth="1"/>
    <col min="2" max="2" width="9" customWidth="1"/>
    <col min="3" max="4" width="11" customWidth="1"/>
    <col min="5" max="6" width="10" customWidth="1"/>
    <col min="7" max="7" width="11" customWidth="1"/>
    <col min="8" max="8" width="9" customWidth="1"/>
    <col min="9" max="9" width="11" customWidth="1"/>
    <col min="10" max="10" width="10" customWidth="1"/>
    <col min="11" max="12" width="12" customWidth="1"/>
  </cols>
  <sheetData>
    <row r="1" spans="1:15" ht="24" customHeight="1" x14ac:dyDescent="0.25">
      <c r="A1" s="8" t="s">
        <v>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30" customHeight="1" x14ac:dyDescent="0.25">
      <c r="A2" s="19" t="s">
        <v>57</v>
      </c>
      <c r="B2" s="19" t="s">
        <v>40</v>
      </c>
      <c r="C2" s="19" t="s">
        <v>43</v>
      </c>
      <c r="D2" s="19" t="s">
        <v>58</v>
      </c>
      <c r="E2" s="19" t="s">
        <v>59</v>
      </c>
      <c r="F2" s="19" t="s">
        <v>48</v>
      </c>
      <c r="G2" s="19" t="s">
        <v>60</v>
      </c>
      <c r="H2" s="19" t="s">
        <v>52</v>
      </c>
      <c r="I2" s="19" t="s">
        <v>54</v>
      </c>
      <c r="J2" s="19" t="s">
        <v>61</v>
      </c>
      <c r="K2" s="19" t="s">
        <v>62</v>
      </c>
      <c r="L2" s="19" t="s">
        <v>63</v>
      </c>
    </row>
    <row r="3" spans="1:15" x14ac:dyDescent="0.25">
      <c r="A3" s="20">
        <v>46296</v>
      </c>
      <c r="B3" s="21">
        <v>0.8</v>
      </c>
      <c r="C3" s="21">
        <v>0.91</v>
      </c>
      <c r="D3" s="22" t="s">
        <v>64</v>
      </c>
      <c r="E3" s="23">
        <f t="shared" ref="E3:E34" si="0">IF(D3="","",D3*1440)</f>
        <v>5.5</v>
      </c>
      <c r="F3" s="24">
        <v>1.65</v>
      </c>
      <c r="G3" s="25">
        <v>6</v>
      </c>
      <c r="H3" s="21">
        <v>0.96</v>
      </c>
      <c r="I3" s="21">
        <v>0.97</v>
      </c>
      <c r="J3" s="26" t="str">
        <f>IF(B3="","",IF(B3&gt;=Targets!$B$2,"On Target","Needs Improvement"))</f>
        <v>On Target</v>
      </c>
      <c r="K3" s="26" t="str">
        <f>IF(C3="","",IF(C3&gt;=Targets!$B$3,"On Target","Needs Improvement"))</f>
        <v>On Target</v>
      </c>
      <c r="L3" s="26" t="str">
        <f>IF(B3="","",IF(AND(B3&gt;=Targets!$B$2,C3&gt;=Targets!$B$3,E3&lt;=Targets!$B$4,F3&gt;=Targets!$B$5,G3&gt;=Targets!$B$6,H3&gt;=Targets!$B$7,I3&gt;=Targets!$B$8),"On Target","Needs Improvement"))</f>
        <v>On Target</v>
      </c>
    </row>
    <row r="4" spans="1:15" x14ac:dyDescent="0.25">
      <c r="A4" s="27">
        <v>46309</v>
      </c>
      <c r="B4" s="14">
        <v>0.75</v>
      </c>
      <c r="C4" s="14">
        <v>0.2</v>
      </c>
      <c r="D4" s="28"/>
      <c r="E4" s="29" t="str">
        <f t="shared" si="0"/>
        <v/>
      </c>
      <c r="F4" s="30"/>
      <c r="G4" s="31"/>
      <c r="H4" s="14"/>
      <c r="I4" s="14"/>
      <c r="J4" s="26" t="str">
        <f>IF(B4="","",IF(B4&gt;=Targets!$B$2,"On Target","Needs Improvement"))</f>
        <v>On Target</v>
      </c>
      <c r="K4" s="26" t="str">
        <f>IF(C4="","",IF(C4&gt;=Targets!$B$3,"On Target","Needs Improvement"))</f>
        <v>Needs Improvement</v>
      </c>
      <c r="L4" s="26" t="str">
        <f>IF(B4="","",IF(AND(B4&gt;=Targets!$B$2,C4&gt;=Targets!$B$3,E4&lt;=Targets!$B$4,F4&gt;=Targets!$B$5,G4&gt;=Targets!$B$6,H4&gt;=Targets!$B$7,I4&gt;=Targets!$B$8),"On Target","Needs Improvement"))</f>
        <v>Needs Improvement</v>
      </c>
    </row>
    <row r="5" spans="1:15" x14ac:dyDescent="0.25">
      <c r="A5" s="27"/>
      <c r="B5" s="14"/>
      <c r="C5" s="14"/>
      <c r="D5" s="28"/>
      <c r="E5" s="29" t="str">
        <f t="shared" si="0"/>
        <v/>
      </c>
      <c r="F5" s="30"/>
      <c r="G5" s="31"/>
      <c r="H5" s="14"/>
      <c r="I5" s="14"/>
      <c r="J5" s="26" t="str">
        <f>IF(B5="","",IF(B5&gt;=Targets!$B$2,"On Target","Needs Improvement"))</f>
        <v/>
      </c>
      <c r="K5" s="26" t="str">
        <f>IF(C5="","",IF(C5&gt;=Targets!$B$3,"On Target","Needs Improvement"))</f>
        <v/>
      </c>
      <c r="L5" s="26" t="str">
        <f>IF(B5="","",IF(AND(B5&gt;=Targets!$B$2,C5&gt;=Targets!$B$3,E5&lt;=Targets!$B$4,F5&gt;=Targets!$B$5,G5&gt;=Targets!$B$6,H5&gt;=Targets!$B$7,I5&gt;=Targets!$B$8),"On Target","Needs Improvement"))</f>
        <v/>
      </c>
    </row>
    <row r="6" spans="1:15" x14ac:dyDescent="0.25">
      <c r="A6" s="27"/>
      <c r="B6" s="14"/>
      <c r="C6" s="14"/>
      <c r="D6" s="28"/>
      <c r="E6" s="29" t="str">
        <f t="shared" si="0"/>
        <v/>
      </c>
      <c r="F6" s="30"/>
      <c r="G6" s="31"/>
      <c r="H6" s="14"/>
      <c r="I6" s="14"/>
      <c r="J6" s="26" t="str">
        <f>IF(B6="","",IF(B6&gt;=Targets!$B$2,"On Target","Needs Improvement"))</f>
        <v/>
      </c>
      <c r="K6" s="26" t="str">
        <f>IF(C6="","",IF(C6&gt;=Targets!$B$3,"On Target","Needs Improvement"))</f>
        <v/>
      </c>
      <c r="L6" s="26" t="str">
        <f>IF(B6="","",IF(AND(B6&gt;=Targets!$B$2,C6&gt;=Targets!$B$3,E6&lt;=Targets!$B$4,F6&gt;=Targets!$B$5,G6&gt;=Targets!$B$6,H6&gt;=Targets!$B$7,I6&gt;=Targets!$B$8),"On Target","Needs Improvement"))</f>
        <v/>
      </c>
    </row>
    <row r="7" spans="1:15" x14ac:dyDescent="0.25">
      <c r="A7" s="27"/>
      <c r="B7" s="14"/>
      <c r="C7" s="14"/>
      <c r="D7" s="28"/>
      <c r="E7" s="29" t="str">
        <f t="shared" si="0"/>
        <v/>
      </c>
      <c r="F7" s="30"/>
      <c r="G7" s="31"/>
      <c r="H7" s="14"/>
      <c r="I7" s="14"/>
      <c r="J7" s="26" t="str">
        <f>IF(B7="","",IF(B7&gt;=Targets!$B$2,"On Target","Needs Improvement"))</f>
        <v/>
      </c>
      <c r="K7" s="26" t="str">
        <f>IF(C7="","",IF(C7&gt;=Targets!$B$3,"On Target","Needs Improvement"))</f>
        <v/>
      </c>
      <c r="L7" s="26" t="str">
        <f>IF(B7="","",IF(AND(B7&gt;=Targets!$B$2,C7&gt;=Targets!$B$3,E7&lt;=Targets!$B$4,F7&gt;=Targets!$B$5,G7&gt;=Targets!$B$6,H7&gt;=Targets!$B$7,I7&gt;=Targets!$B$8),"On Target","Needs Improvement"))</f>
        <v/>
      </c>
    </row>
    <row r="8" spans="1:15" x14ac:dyDescent="0.25">
      <c r="A8" s="27"/>
      <c r="B8" s="14"/>
      <c r="C8" s="14"/>
      <c r="D8" s="28"/>
      <c r="E8" s="29" t="str">
        <f t="shared" si="0"/>
        <v/>
      </c>
      <c r="F8" s="30"/>
      <c r="G8" s="31"/>
      <c r="H8" s="14"/>
      <c r="I8" s="14"/>
      <c r="J8" s="26" t="str">
        <f>IF(B8="","",IF(B8&gt;=Targets!$B$2,"On Target","Needs Improvement"))</f>
        <v/>
      </c>
      <c r="K8" s="26" t="str">
        <f>IF(C8="","",IF(C8&gt;=Targets!$B$3,"On Target","Needs Improvement"))</f>
        <v/>
      </c>
      <c r="L8" s="26" t="str">
        <f>IF(B8="","",IF(AND(B8&gt;=Targets!$B$2,C8&gt;=Targets!$B$3,E8&lt;=Targets!$B$4,F8&gt;=Targets!$B$5,G8&gt;=Targets!$B$6,H8&gt;=Targets!$B$7,I8&gt;=Targets!$B$8),"On Target","Needs Improvement"))</f>
        <v/>
      </c>
    </row>
    <row r="9" spans="1:15" x14ac:dyDescent="0.25">
      <c r="A9" s="27"/>
      <c r="B9" s="14"/>
      <c r="C9" s="14"/>
      <c r="D9" s="28"/>
      <c r="E9" s="29" t="str">
        <f t="shared" si="0"/>
        <v/>
      </c>
      <c r="F9" s="30"/>
      <c r="G9" s="31"/>
      <c r="H9" s="14"/>
      <c r="I9" s="14"/>
      <c r="J9" s="26" t="str">
        <f>IF(B9="","",IF(B9&gt;=Targets!$B$2,"On Target","Needs Improvement"))</f>
        <v/>
      </c>
      <c r="K9" s="26" t="str">
        <f>IF(C9="","",IF(C9&gt;=Targets!$B$3,"On Target","Needs Improvement"))</f>
        <v/>
      </c>
      <c r="L9" s="26" t="str">
        <f>IF(B9="","",IF(AND(B9&gt;=Targets!$B$2,C9&gt;=Targets!$B$3,E9&lt;=Targets!$B$4,F9&gt;=Targets!$B$5,G9&gt;=Targets!$B$6,H9&gt;=Targets!$B$7,I9&gt;=Targets!$B$8),"On Target","Needs Improvement"))</f>
        <v/>
      </c>
    </row>
    <row r="10" spans="1:15" x14ac:dyDescent="0.25">
      <c r="A10" s="27"/>
      <c r="B10" s="14"/>
      <c r="C10" s="14"/>
      <c r="D10" s="28"/>
      <c r="E10" s="29" t="str">
        <f t="shared" si="0"/>
        <v/>
      </c>
      <c r="F10" s="30"/>
      <c r="G10" s="31"/>
      <c r="H10" s="14"/>
      <c r="I10" s="14"/>
      <c r="J10" s="26" t="str">
        <f>IF(B10="","",IF(B10&gt;=Targets!$B$2,"On Target","Needs Improvement"))</f>
        <v/>
      </c>
      <c r="K10" s="26" t="str">
        <f>IF(C10="","",IF(C10&gt;=Targets!$B$3,"On Target","Needs Improvement"))</f>
        <v/>
      </c>
      <c r="L10" s="26" t="str">
        <f>IF(B10="","",IF(AND(B10&gt;=Targets!$B$2,C10&gt;=Targets!$B$3,E10&lt;=Targets!$B$4,F10&gt;=Targets!$B$5,G10&gt;=Targets!$B$6,H10&gt;=Targets!$B$7,I10&gt;=Targets!$B$8),"On Target","Needs Improvement"))</f>
        <v/>
      </c>
    </row>
    <row r="11" spans="1:15" x14ac:dyDescent="0.25">
      <c r="A11" s="27"/>
      <c r="B11" s="14"/>
      <c r="C11" s="14"/>
      <c r="D11" s="28"/>
      <c r="E11" s="29" t="str">
        <f t="shared" si="0"/>
        <v/>
      </c>
      <c r="F11" s="30"/>
      <c r="G11" s="31"/>
      <c r="H11" s="14"/>
      <c r="I11" s="14"/>
      <c r="J11" s="26" t="str">
        <f>IF(B11="","",IF(B11&gt;=Targets!$B$2,"On Target","Needs Improvement"))</f>
        <v/>
      </c>
      <c r="K11" s="26" t="str">
        <f>IF(C11="","",IF(C11&gt;=Targets!$B$3,"On Target","Needs Improvement"))</f>
        <v/>
      </c>
      <c r="L11" s="26" t="str">
        <f>IF(B11="","",IF(AND(B11&gt;=Targets!$B$2,C11&gt;=Targets!$B$3,E11&lt;=Targets!$B$4,F11&gt;=Targets!$B$5,G11&gt;=Targets!$B$6,H11&gt;=Targets!$B$7,I11&gt;=Targets!$B$8),"On Target","Needs Improvement"))</f>
        <v/>
      </c>
    </row>
    <row r="12" spans="1:15" x14ac:dyDescent="0.25">
      <c r="A12" s="27"/>
      <c r="B12" s="14"/>
      <c r="C12" s="14"/>
      <c r="D12" s="28"/>
      <c r="E12" s="29" t="str">
        <f t="shared" si="0"/>
        <v/>
      </c>
      <c r="F12" s="30"/>
      <c r="G12" s="31"/>
      <c r="H12" s="14"/>
      <c r="I12" s="14"/>
      <c r="J12" s="26" t="str">
        <f>IF(B12="","",IF(B12&gt;=Targets!$B$2,"On Target","Needs Improvement"))</f>
        <v/>
      </c>
      <c r="K12" s="26" t="str">
        <f>IF(C12="","",IF(C12&gt;=Targets!$B$3,"On Target","Needs Improvement"))</f>
        <v/>
      </c>
      <c r="L12" s="26" t="str">
        <f>IF(B12="","",IF(AND(B12&gt;=Targets!$B$2,C12&gt;=Targets!$B$3,E12&lt;=Targets!$B$4,F12&gt;=Targets!$B$5,G12&gt;=Targets!$B$6,H12&gt;=Targets!$B$7,I12&gt;=Targets!$B$8),"On Target","Needs Improvement"))</f>
        <v/>
      </c>
    </row>
    <row r="13" spans="1:15" x14ac:dyDescent="0.25">
      <c r="A13" s="27"/>
      <c r="B13" s="14"/>
      <c r="C13" s="14"/>
      <c r="D13" s="28"/>
      <c r="E13" s="29" t="str">
        <f t="shared" si="0"/>
        <v/>
      </c>
      <c r="F13" s="30"/>
      <c r="G13" s="31"/>
      <c r="H13" s="14"/>
      <c r="I13" s="14"/>
      <c r="J13" s="26" t="str">
        <f>IF(B13="","",IF(B13&gt;=Targets!$B$2,"On Target","Needs Improvement"))</f>
        <v/>
      </c>
      <c r="K13" s="26" t="str">
        <f>IF(C13="","",IF(C13&gt;=Targets!$B$3,"On Target","Needs Improvement"))</f>
        <v/>
      </c>
      <c r="L13" s="26" t="str">
        <f>IF(B13="","",IF(AND(B13&gt;=Targets!$B$2,C13&gt;=Targets!$B$3,E13&lt;=Targets!$B$4,F13&gt;=Targets!$B$5,G13&gt;=Targets!$B$6,H13&gt;=Targets!$B$7,I13&gt;=Targets!$B$8),"On Target","Needs Improvement"))</f>
        <v/>
      </c>
    </row>
    <row r="14" spans="1:15" x14ac:dyDescent="0.25">
      <c r="A14" s="27"/>
      <c r="B14" s="14"/>
      <c r="C14" s="14"/>
      <c r="D14" s="28"/>
      <c r="E14" s="29" t="str">
        <f t="shared" si="0"/>
        <v/>
      </c>
      <c r="F14" s="30"/>
      <c r="G14" s="31"/>
      <c r="H14" s="14"/>
      <c r="I14" s="14"/>
      <c r="J14" s="26" t="str">
        <f>IF(B14="","",IF(B14&gt;=Targets!$B$2,"On Target","Needs Improvement"))</f>
        <v/>
      </c>
      <c r="K14" s="26" t="str">
        <f>IF(C14="","",IF(C14&gt;=Targets!$B$3,"On Target","Needs Improvement"))</f>
        <v/>
      </c>
      <c r="L14" s="26" t="str">
        <f>IF(B14="","",IF(AND(B14&gt;=Targets!$B$2,C14&gt;=Targets!$B$3,E14&lt;=Targets!$B$4,F14&gt;=Targets!$B$5,G14&gt;=Targets!$B$6,H14&gt;=Targets!$B$7,I14&gt;=Targets!$B$8),"On Target","Needs Improvement"))</f>
        <v/>
      </c>
    </row>
    <row r="15" spans="1:15" x14ac:dyDescent="0.25">
      <c r="A15" s="27"/>
      <c r="B15" s="14"/>
      <c r="C15" s="14"/>
      <c r="D15" s="28"/>
      <c r="E15" s="29" t="str">
        <f t="shared" si="0"/>
        <v/>
      </c>
      <c r="F15" s="30"/>
      <c r="G15" s="31"/>
      <c r="H15" s="14"/>
      <c r="I15" s="14"/>
      <c r="J15" s="26" t="str">
        <f>IF(B15="","",IF(B15&gt;=Targets!$B$2,"On Target","Needs Improvement"))</f>
        <v/>
      </c>
      <c r="K15" s="26" t="str">
        <f>IF(C15="","",IF(C15&gt;=Targets!$B$3,"On Target","Needs Improvement"))</f>
        <v/>
      </c>
      <c r="L15" s="26" t="str">
        <f>IF(B15="","",IF(AND(B15&gt;=Targets!$B$2,C15&gt;=Targets!$B$3,E15&lt;=Targets!$B$4,F15&gt;=Targets!$B$5,G15&gt;=Targets!$B$6,H15&gt;=Targets!$B$7,I15&gt;=Targets!$B$8),"On Target","Needs Improvement"))</f>
        <v/>
      </c>
    </row>
    <row r="16" spans="1:15" x14ac:dyDescent="0.25">
      <c r="A16" s="27"/>
      <c r="B16" s="14"/>
      <c r="C16" s="14"/>
      <c r="D16" s="28"/>
      <c r="E16" s="29" t="str">
        <f t="shared" si="0"/>
        <v/>
      </c>
      <c r="F16" s="30"/>
      <c r="G16" s="31"/>
      <c r="H16" s="14"/>
      <c r="I16" s="14"/>
      <c r="J16" s="26" t="str">
        <f>IF(B16="","",IF(B16&gt;=Targets!$B$2,"On Target","Needs Improvement"))</f>
        <v/>
      </c>
      <c r="K16" s="26" t="str">
        <f>IF(C16="","",IF(C16&gt;=Targets!$B$3,"On Target","Needs Improvement"))</f>
        <v/>
      </c>
      <c r="L16" s="26" t="str">
        <f>IF(B16="","",IF(AND(B16&gt;=Targets!$B$2,C16&gt;=Targets!$B$3,E16&lt;=Targets!$B$4,F16&gt;=Targets!$B$5,G16&gt;=Targets!$B$6,H16&gt;=Targets!$B$7,I16&gt;=Targets!$B$8),"On Target","Needs Improvement"))</f>
        <v/>
      </c>
    </row>
    <row r="17" spans="1:12" x14ac:dyDescent="0.25">
      <c r="A17" s="27"/>
      <c r="B17" s="14"/>
      <c r="C17" s="14"/>
      <c r="D17" s="28"/>
      <c r="E17" s="29" t="str">
        <f t="shared" si="0"/>
        <v/>
      </c>
      <c r="F17" s="30"/>
      <c r="G17" s="31"/>
      <c r="H17" s="14"/>
      <c r="I17" s="14"/>
      <c r="J17" s="26" t="str">
        <f>IF(B17="","",IF(B17&gt;=Targets!$B$2,"On Target","Needs Improvement"))</f>
        <v/>
      </c>
      <c r="K17" s="26" t="str">
        <f>IF(C17="","",IF(C17&gt;=Targets!$B$3,"On Target","Needs Improvement"))</f>
        <v/>
      </c>
      <c r="L17" s="26" t="str">
        <f>IF(B17="","",IF(AND(B17&gt;=Targets!$B$2,C17&gt;=Targets!$B$3,E17&lt;=Targets!$B$4,F17&gt;=Targets!$B$5,G17&gt;=Targets!$B$6,H17&gt;=Targets!$B$7,I17&gt;=Targets!$B$8),"On Target","Needs Improvement"))</f>
        <v/>
      </c>
    </row>
    <row r="18" spans="1:12" x14ac:dyDescent="0.25">
      <c r="A18" s="27"/>
      <c r="B18" s="14"/>
      <c r="C18" s="14"/>
      <c r="D18" s="28"/>
      <c r="E18" s="29" t="str">
        <f t="shared" si="0"/>
        <v/>
      </c>
      <c r="F18" s="30"/>
      <c r="G18" s="31"/>
      <c r="H18" s="14"/>
      <c r="I18" s="14"/>
      <c r="J18" s="26" t="str">
        <f>IF(B18="","",IF(B18&gt;=Targets!$B$2,"On Target","Needs Improvement"))</f>
        <v/>
      </c>
      <c r="K18" s="26" t="str">
        <f>IF(C18="","",IF(C18&gt;=Targets!$B$3,"On Target","Needs Improvement"))</f>
        <v/>
      </c>
      <c r="L18" s="26" t="str">
        <f>IF(B18="","",IF(AND(B18&gt;=Targets!$B$2,C18&gt;=Targets!$B$3,E18&lt;=Targets!$B$4,F18&gt;=Targets!$B$5,G18&gt;=Targets!$B$6,H18&gt;=Targets!$B$7,I18&gt;=Targets!$B$8),"On Target","Needs Improvement"))</f>
        <v/>
      </c>
    </row>
    <row r="19" spans="1:12" x14ac:dyDescent="0.25">
      <c r="A19" s="27"/>
      <c r="B19" s="14"/>
      <c r="C19" s="14"/>
      <c r="D19" s="28"/>
      <c r="E19" s="29" t="str">
        <f t="shared" si="0"/>
        <v/>
      </c>
      <c r="F19" s="30"/>
      <c r="G19" s="31"/>
      <c r="H19" s="14"/>
      <c r="I19" s="14"/>
      <c r="J19" s="26" t="str">
        <f>IF(B19="","",IF(B19&gt;=Targets!$B$2,"On Target","Needs Improvement"))</f>
        <v/>
      </c>
      <c r="K19" s="26" t="str">
        <f>IF(C19="","",IF(C19&gt;=Targets!$B$3,"On Target","Needs Improvement"))</f>
        <v/>
      </c>
      <c r="L19" s="26" t="str">
        <f>IF(B19="","",IF(AND(B19&gt;=Targets!$B$2,C19&gt;=Targets!$B$3,E19&lt;=Targets!$B$4,F19&gt;=Targets!$B$5,G19&gt;=Targets!$B$6,H19&gt;=Targets!$B$7,I19&gt;=Targets!$B$8),"On Target","Needs Improvement"))</f>
        <v/>
      </c>
    </row>
    <row r="20" spans="1:12" x14ac:dyDescent="0.25">
      <c r="A20" s="27"/>
      <c r="B20" s="14"/>
      <c r="C20" s="14"/>
      <c r="D20" s="28"/>
      <c r="E20" s="29" t="str">
        <f t="shared" si="0"/>
        <v/>
      </c>
      <c r="F20" s="30"/>
      <c r="G20" s="31"/>
      <c r="H20" s="14"/>
      <c r="I20" s="14"/>
      <c r="J20" s="26" t="str">
        <f>IF(B20="","",IF(B20&gt;=Targets!$B$2,"On Target","Needs Improvement"))</f>
        <v/>
      </c>
      <c r="K20" s="26" t="str">
        <f>IF(C20="","",IF(C20&gt;=Targets!$B$3,"On Target","Needs Improvement"))</f>
        <v/>
      </c>
      <c r="L20" s="26" t="str">
        <f>IF(B20="","",IF(AND(B20&gt;=Targets!$B$2,C20&gt;=Targets!$B$3,E20&lt;=Targets!$B$4,F20&gt;=Targets!$B$5,G20&gt;=Targets!$B$6,H20&gt;=Targets!$B$7,I20&gt;=Targets!$B$8),"On Target","Needs Improvement"))</f>
        <v/>
      </c>
    </row>
    <row r="21" spans="1:12" x14ac:dyDescent="0.25">
      <c r="A21" s="27"/>
      <c r="B21" s="14"/>
      <c r="C21" s="14"/>
      <c r="D21" s="28"/>
      <c r="E21" s="29" t="str">
        <f t="shared" si="0"/>
        <v/>
      </c>
      <c r="F21" s="30"/>
      <c r="G21" s="31"/>
      <c r="H21" s="14"/>
      <c r="I21" s="14"/>
      <c r="J21" s="26" t="str">
        <f>IF(B21="","",IF(B21&gt;=Targets!$B$2,"On Target","Needs Improvement"))</f>
        <v/>
      </c>
      <c r="K21" s="26" t="str">
        <f>IF(C21="","",IF(C21&gt;=Targets!$B$3,"On Target","Needs Improvement"))</f>
        <v/>
      </c>
      <c r="L21" s="26" t="str">
        <f>IF(B21="","",IF(AND(B21&gt;=Targets!$B$2,C21&gt;=Targets!$B$3,E21&lt;=Targets!$B$4,F21&gt;=Targets!$B$5,G21&gt;=Targets!$B$6,H21&gt;=Targets!$B$7,I21&gt;=Targets!$B$8),"On Target","Needs Improvement"))</f>
        <v/>
      </c>
    </row>
    <row r="22" spans="1:12" x14ac:dyDescent="0.25">
      <c r="A22" s="27"/>
      <c r="B22" s="14"/>
      <c r="C22" s="14"/>
      <c r="D22" s="28"/>
      <c r="E22" s="29" t="str">
        <f t="shared" si="0"/>
        <v/>
      </c>
      <c r="F22" s="30"/>
      <c r="G22" s="31"/>
      <c r="H22" s="14"/>
      <c r="I22" s="14"/>
      <c r="J22" s="26" t="str">
        <f>IF(B22="","",IF(B22&gt;=Targets!$B$2,"On Target","Needs Improvement"))</f>
        <v/>
      </c>
      <c r="K22" s="26" t="str">
        <f>IF(C22="","",IF(C22&gt;=Targets!$B$3,"On Target","Needs Improvement"))</f>
        <v/>
      </c>
      <c r="L22" s="26" t="str">
        <f>IF(B22="","",IF(AND(B22&gt;=Targets!$B$2,C22&gt;=Targets!$B$3,E22&lt;=Targets!$B$4,F22&gt;=Targets!$B$5,G22&gt;=Targets!$B$6,H22&gt;=Targets!$B$7,I22&gt;=Targets!$B$8),"On Target","Needs Improvement"))</f>
        <v/>
      </c>
    </row>
    <row r="23" spans="1:12" x14ac:dyDescent="0.25">
      <c r="A23" s="27"/>
      <c r="B23" s="14"/>
      <c r="C23" s="14"/>
      <c r="D23" s="28"/>
      <c r="E23" s="29" t="str">
        <f t="shared" si="0"/>
        <v/>
      </c>
      <c r="F23" s="30"/>
      <c r="G23" s="31"/>
      <c r="H23" s="14"/>
      <c r="I23" s="14"/>
      <c r="J23" s="26" t="str">
        <f>IF(B23="","",IF(B23&gt;=Targets!$B$2,"On Target","Needs Improvement"))</f>
        <v/>
      </c>
      <c r="K23" s="26" t="str">
        <f>IF(C23="","",IF(C23&gt;=Targets!$B$3,"On Target","Needs Improvement"))</f>
        <v/>
      </c>
      <c r="L23" s="26" t="str">
        <f>IF(B23="","",IF(AND(B23&gt;=Targets!$B$2,C23&gt;=Targets!$B$3,E23&lt;=Targets!$B$4,F23&gt;=Targets!$B$5,G23&gt;=Targets!$B$6,H23&gt;=Targets!$B$7,I23&gt;=Targets!$B$8),"On Target","Needs Improvement"))</f>
        <v/>
      </c>
    </row>
    <row r="24" spans="1:12" x14ac:dyDescent="0.25">
      <c r="A24" s="27"/>
      <c r="B24" s="14"/>
      <c r="C24" s="14"/>
      <c r="D24" s="28"/>
      <c r="E24" s="29" t="str">
        <f t="shared" si="0"/>
        <v/>
      </c>
      <c r="F24" s="30"/>
      <c r="G24" s="31"/>
      <c r="H24" s="14"/>
      <c r="I24" s="14"/>
      <c r="J24" s="26" t="str">
        <f>IF(B24="","",IF(B24&gt;=Targets!$B$2,"On Target","Needs Improvement"))</f>
        <v/>
      </c>
      <c r="K24" s="26" t="str">
        <f>IF(C24="","",IF(C24&gt;=Targets!$B$3,"On Target","Needs Improvement"))</f>
        <v/>
      </c>
      <c r="L24" s="26" t="str">
        <f>IF(B24="","",IF(AND(B24&gt;=Targets!$B$2,C24&gt;=Targets!$B$3,E24&lt;=Targets!$B$4,F24&gt;=Targets!$B$5,G24&gt;=Targets!$B$6,H24&gt;=Targets!$B$7,I24&gt;=Targets!$B$8),"On Target","Needs Improvement"))</f>
        <v/>
      </c>
    </row>
    <row r="25" spans="1:12" x14ac:dyDescent="0.25">
      <c r="A25" s="27"/>
      <c r="B25" s="14"/>
      <c r="C25" s="14"/>
      <c r="D25" s="28"/>
      <c r="E25" s="29" t="str">
        <f t="shared" si="0"/>
        <v/>
      </c>
      <c r="F25" s="30"/>
      <c r="G25" s="31"/>
      <c r="H25" s="14"/>
      <c r="I25" s="14"/>
      <c r="J25" s="26" t="str">
        <f>IF(B25="","",IF(B25&gt;=Targets!$B$2,"On Target","Needs Improvement"))</f>
        <v/>
      </c>
      <c r="K25" s="26" t="str">
        <f>IF(C25="","",IF(C25&gt;=Targets!$B$3,"On Target","Needs Improvement"))</f>
        <v/>
      </c>
      <c r="L25" s="26" t="str">
        <f>IF(B25="","",IF(AND(B25&gt;=Targets!$B$2,C25&gt;=Targets!$B$3,E25&lt;=Targets!$B$4,F25&gt;=Targets!$B$5,G25&gt;=Targets!$B$6,H25&gt;=Targets!$B$7,I25&gt;=Targets!$B$8),"On Target","Needs Improvement"))</f>
        <v/>
      </c>
    </row>
    <row r="26" spans="1:12" x14ac:dyDescent="0.25">
      <c r="A26" s="27"/>
      <c r="B26" s="14"/>
      <c r="C26" s="14"/>
      <c r="D26" s="28"/>
      <c r="E26" s="29" t="str">
        <f t="shared" si="0"/>
        <v/>
      </c>
      <c r="F26" s="30"/>
      <c r="G26" s="31"/>
      <c r="H26" s="14"/>
      <c r="I26" s="14"/>
      <c r="J26" s="26" t="str">
        <f>IF(B26="","",IF(B26&gt;=Targets!$B$2,"On Target","Needs Improvement"))</f>
        <v/>
      </c>
      <c r="K26" s="26" t="str">
        <f>IF(C26="","",IF(C26&gt;=Targets!$B$3,"On Target","Needs Improvement"))</f>
        <v/>
      </c>
      <c r="L26" s="26" t="str">
        <f>IF(B26="","",IF(AND(B26&gt;=Targets!$B$2,C26&gt;=Targets!$B$3,E26&lt;=Targets!$B$4,F26&gt;=Targets!$B$5,G26&gt;=Targets!$B$6,H26&gt;=Targets!$B$7,I26&gt;=Targets!$B$8),"On Target","Needs Improvement"))</f>
        <v/>
      </c>
    </row>
    <row r="27" spans="1:12" x14ac:dyDescent="0.25">
      <c r="A27" s="27"/>
      <c r="B27" s="14"/>
      <c r="C27" s="14"/>
      <c r="D27" s="28"/>
      <c r="E27" s="29" t="str">
        <f t="shared" si="0"/>
        <v/>
      </c>
      <c r="F27" s="30"/>
      <c r="G27" s="31"/>
      <c r="H27" s="14"/>
      <c r="I27" s="14"/>
      <c r="J27" s="26" t="str">
        <f>IF(B27="","",IF(B27&gt;=Targets!$B$2,"On Target","Needs Improvement"))</f>
        <v/>
      </c>
      <c r="K27" s="26" t="str">
        <f>IF(C27="","",IF(C27&gt;=Targets!$B$3,"On Target","Needs Improvement"))</f>
        <v/>
      </c>
      <c r="L27" s="26" t="str">
        <f>IF(B27="","",IF(AND(B27&gt;=Targets!$B$2,C27&gt;=Targets!$B$3,E27&lt;=Targets!$B$4,F27&gt;=Targets!$B$5,G27&gt;=Targets!$B$6,H27&gt;=Targets!$B$7,I27&gt;=Targets!$B$8),"On Target","Needs Improvement"))</f>
        <v/>
      </c>
    </row>
    <row r="28" spans="1:12" x14ac:dyDescent="0.25">
      <c r="A28" s="27"/>
      <c r="B28" s="14"/>
      <c r="C28" s="14"/>
      <c r="D28" s="28"/>
      <c r="E28" s="29" t="str">
        <f t="shared" si="0"/>
        <v/>
      </c>
      <c r="F28" s="30"/>
      <c r="G28" s="31"/>
      <c r="H28" s="14"/>
      <c r="I28" s="14"/>
      <c r="J28" s="26" t="str">
        <f>IF(B28="","",IF(B28&gt;=Targets!$B$2,"On Target","Needs Improvement"))</f>
        <v/>
      </c>
      <c r="K28" s="26" t="str">
        <f>IF(C28="","",IF(C28&gt;=Targets!$B$3,"On Target","Needs Improvement"))</f>
        <v/>
      </c>
      <c r="L28" s="26" t="str">
        <f>IF(B28="","",IF(AND(B28&gt;=Targets!$B$2,C28&gt;=Targets!$B$3,E28&lt;=Targets!$B$4,F28&gt;=Targets!$B$5,G28&gt;=Targets!$B$6,H28&gt;=Targets!$B$7,I28&gt;=Targets!$B$8),"On Target","Needs Improvement"))</f>
        <v/>
      </c>
    </row>
    <row r="29" spans="1:12" x14ac:dyDescent="0.25">
      <c r="A29" s="27"/>
      <c r="B29" s="14"/>
      <c r="C29" s="14"/>
      <c r="D29" s="28"/>
      <c r="E29" s="29" t="str">
        <f t="shared" si="0"/>
        <v/>
      </c>
      <c r="F29" s="30"/>
      <c r="G29" s="31"/>
      <c r="H29" s="14"/>
      <c r="I29" s="14"/>
      <c r="J29" s="26" t="str">
        <f>IF(B29="","",IF(B29&gt;=Targets!$B$2,"On Target","Needs Improvement"))</f>
        <v/>
      </c>
      <c r="K29" s="26" t="str">
        <f>IF(C29="","",IF(C29&gt;=Targets!$B$3,"On Target","Needs Improvement"))</f>
        <v/>
      </c>
      <c r="L29" s="26" t="str">
        <f>IF(B29="","",IF(AND(B29&gt;=Targets!$B$2,C29&gt;=Targets!$B$3,E29&lt;=Targets!$B$4,F29&gt;=Targets!$B$5,G29&gt;=Targets!$B$6,H29&gt;=Targets!$B$7,I29&gt;=Targets!$B$8),"On Target","Needs Improvement"))</f>
        <v/>
      </c>
    </row>
    <row r="30" spans="1:12" x14ac:dyDescent="0.25">
      <c r="A30" s="27"/>
      <c r="B30" s="14"/>
      <c r="C30" s="14"/>
      <c r="D30" s="28"/>
      <c r="E30" s="29" t="str">
        <f t="shared" si="0"/>
        <v/>
      </c>
      <c r="F30" s="30"/>
      <c r="G30" s="31"/>
      <c r="H30" s="14"/>
      <c r="I30" s="14"/>
      <c r="J30" s="26" t="str">
        <f>IF(B30="","",IF(B30&gt;=Targets!$B$2,"On Target","Needs Improvement"))</f>
        <v/>
      </c>
      <c r="K30" s="26" t="str">
        <f>IF(C30="","",IF(C30&gt;=Targets!$B$3,"On Target","Needs Improvement"))</f>
        <v/>
      </c>
      <c r="L30" s="26" t="str">
        <f>IF(B30="","",IF(AND(B30&gt;=Targets!$B$2,C30&gt;=Targets!$B$3,E30&lt;=Targets!$B$4,F30&gt;=Targets!$B$5,G30&gt;=Targets!$B$6,H30&gt;=Targets!$B$7,I30&gt;=Targets!$B$8),"On Target","Needs Improvement"))</f>
        <v/>
      </c>
    </row>
    <row r="31" spans="1:12" x14ac:dyDescent="0.25">
      <c r="A31" s="27"/>
      <c r="B31" s="14"/>
      <c r="C31" s="14"/>
      <c r="D31" s="28"/>
      <c r="E31" s="29" t="str">
        <f t="shared" si="0"/>
        <v/>
      </c>
      <c r="F31" s="30"/>
      <c r="G31" s="31"/>
      <c r="H31" s="14"/>
      <c r="I31" s="14"/>
      <c r="J31" s="26" t="str">
        <f>IF(B31="","",IF(B31&gt;=Targets!$B$2,"On Target","Needs Improvement"))</f>
        <v/>
      </c>
      <c r="K31" s="26" t="str">
        <f>IF(C31="","",IF(C31&gt;=Targets!$B$3,"On Target","Needs Improvement"))</f>
        <v/>
      </c>
      <c r="L31" s="26" t="str">
        <f>IF(B31="","",IF(AND(B31&gt;=Targets!$B$2,C31&gt;=Targets!$B$3,E31&lt;=Targets!$B$4,F31&gt;=Targets!$B$5,G31&gt;=Targets!$B$6,H31&gt;=Targets!$B$7,I31&gt;=Targets!$B$8),"On Target","Needs Improvement"))</f>
        <v/>
      </c>
    </row>
    <row r="32" spans="1:12" x14ac:dyDescent="0.25">
      <c r="A32" s="27"/>
      <c r="B32" s="14"/>
      <c r="C32" s="14"/>
      <c r="D32" s="28"/>
      <c r="E32" s="29" t="str">
        <f t="shared" si="0"/>
        <v/>
      </c>
      <c r="F32" s="30"/>
      <c r="G32" s="31"/>
      <c r="H32" s="14"/>
      <c r="I32" s="14"/>
      <c r="J32" s="26" t="str">
        <f>IF(B32="","",IF(B32&gt;=Targets!$B$2,"On Target","Needs Improvement"))</f>
        <v/>
      </c>
      <c r="K32" s="26" t="str">
        <f>IF(C32="","",IF(C32&gt;=Targets!$B$3,"On Target","Needs Improvement"))</f>
        <v/>
      </c>
      <c r="L32" s="26" t="str">
        <f>IF(B32="","",IF(AND(B32&gt;=Targets!$B$2,C32&gt;=Targets!$B$3,E32&lt;=Targets!$B$4,F32&gt;=Targets!$B$5,G32&gt;=Targets!$B$6,H32&gt;=Targets!$B$7,I32&gt;=Targets!$B$8),"On Target","Needs Improvement"))</f>
        <v/>
      </c>
    </row>
    <row r="33" spans="1:12" x14ac:dyDescent="0.25">
      <c r="A33" s="27"/>
      <c r="B33" s="14"/>
      <c r="C33" s="14"/>
      <c r="D33" s="28"/>
      <c r="E33" s="29" t="str">
        <f t="shared" si="0"/>
        <v/>
      </c>
      <c r="F33" s="30"/>
      <c r="G33" s="31"/>
      <c r="H33" s="14"/>
      <c r="I33" s="14"/>
      <c r="J33" s="26" t="str">
        <f>IF(B33="","",IF(B33&gt;=Targets!$B$2,"On Target","Needs Improvement"))</f>
        <v/>
      </c>
      <c r="K33" s="26" t="str">
        <f>IF(C33="","",IF(C33&gt;=Targets!$B$3,"On Target","Needs Improvement"))</f>
        <v/>
      </c>
      <c r="L33" s="26" t="str">
        <f>IF(B33="","",IF(AND(B33&gt;=Targets!$B$2,C33&gt;=Targets!$B$3,E33&lt;=Targets!$B$4,F33&gt;=Targets!$B$5,G33&gt;=Targets!$B$6,H33&gt;=Targets!$B$7,I33&gt;=Targets!$B$8),"On Target","Needs Improvement"))</f>
        <v/>
      </c>
    </row>
    <row r="34" spans="1:12" x14ac:dyDescent="0.25">
      <c r="A34" s="27"/>
      <c r="B34" s="14"/>
      <c r="C34" s="14"/>
      <c r="D34" s="28"/>
      <c r="E34" s="29" t="str">
        <f t="shared" si="0"/>
        <v/>
      </c>
      <c r="F34" s="30"/>
      <c r="G34" s="31"/>
      <c r="H34" s="14"/>
      <c r="I34" s="14"/>
      <c r="J34" s="26" t="str">
        <f>IF(B34="","",IF(B34&gt;=Targets!$B$2,"On Target","Needs Improvement"))</f>
        <v/>
      </c>
      <c r="K34" s="26" t="str">
        <f>IF(C34="","",IF(C34&gt;=Targets!$B$3,"On Target","Needs Improvement"))</f>
        <v/>
      </c>
      <c r="L34" s="26" t="str">
        <f>IF(B34="","",IF(AND(B34&gt;=Targets!$B$2,C34&gt;=Targets!$B$3,E34&lt;=Targets!$B$4,F34&gt;=Targets!$B$5,G34&gt;=Targets!$B$6,H34&gt;=Targets!$B$7,I34&gt;=Targets!$B$8),"On Target","Needs Improvement"))</f>
        <v/>
      </c>
    </row>
    <row r="35" spans="1:12" x14ac:dyDescent="0.25">
      <c r="A35" s="27"/>
      <c r="B35" s="14"/>
      <c r="C35" s="14"/>
      <c r="D35" s="28"/>
      <c r="E35" s="29" t="str">
        <f t="shared" ref="E35:E66" si="1">IF(D35="","",D35*1440)</f>
        <v/>
      </c>
      <c r="F35" s="30"/>
      <c r="G35" s="31"/>
      <c r="H35" s="14"/>
      <c r="I35" s="14"/>
      <c r="J35" s="26" t="str">
        <f>IF(B35="","",IF(B35&gt;=Targets!$B$2,"On Target","Needs Improvement"))</f>
        <v/>
      </c>
      <c r="K35" s="26" t="str">
        <f>IF(C35="","",IF(C35&gt;=Targets!$B$3,"On Target","Needs Improvement"))</f>
        <v/>
      </c>
      <c r="L35" s="26" t="str">
        <f>IF(B35="","",IF(AND(B35&gt;=Targets!$B$2,C35&gt;=Targets!$B$3,E35&lt;=Targets!$B$4,F35&gt;=Targets!$B$5,G35&gt;=Targets!$B$6,H35&gt;=Targets!$B$7,I35&gt;=Targets!$B$8),"On Target","Needs Improvement"))</f>
        <v/>
      </c>
    </row>
    <row r="36" spans="1:12" x14ac:dyDescent="0.25">
      <c r="A36" s="27"/>
      <c r="B36" s="14"/>
      <c r="C36" s="14"/>
      <c r="D36" s="28"/>
      <c r="E36" s="29" t="str">
        <f t="shared" si="1"/>
        <v/>
      </c>
      <c r="F36" s="30"/>
      <c r="G36" s="31"/>
      <c r="H36" s="14"/>
      <c r="I36" s="14"/>
      <c r="J36" s="26" t="str">
        <f>IF(B36="","",IF(B36&gt;=Targets!$B$2,"On Target","Needs Improvement"))</f>
        <v/>
      </c>
      <c r="K36" s="26" t="str">
        <f>IF(C36="","",IF(C36&gt;=Targets!$B$3,"On Target","Needs Improvement"))</f>
        <v/>
      </c>
      <c r="L36" s="26" t="str">
        <f>IF(B36="","",IF(AND(B36&gt;=Targets!$B$2,C36&gt;=Targets!$B$3,E36&lt;=Targets!$B$4,F36&gt;=Targets!$B$5,G36&gt;=Targets!$B$6,H36&gt;=Targets!$B$7,I36&gt;=Targets!$B$8),"On Target","Needs Improvement"))</f>
        <v/>
      </c>
    </row>
    <row r="37" spans="1:12" x14ac:dyDescent="0.25">
      <c r="A37" s="27"/>
      <c r="B37" s="14"/>
      <c r="C37" s="14"/>
      <c r="D37" s="28"/>
      <c r="E37" s="29" t="str">
        <f t="shared" si="1"/>
        <v/>
      </c>
      <c r="F37" s="30"/>
      <c r="G37" s="31"/>
      <c r="H37" s="14"/>
      <c r="I37" s="14"/>
      <c r="J37" s="26" t="str">
        <f>IF(B37="","",IF(B37&gt;=Targets!$B$2,"On Target","Needs Improvement"))</f>
        <v/>
      </c>
      <c r="K37" s="26" t="str">
        <f>IF(C37="","",IF(C37&gt;=Targets!$B$3,"On Target","Needs Improvement"))</f>
        <v/>
      </c>
      <c r="L37" s="26" t="str">
        <f>IF(B37="","",IF(AND(B37&gt;=Targets!$B$2,C37&gt;=Targets!$B$3,E37&lt;=Targets!$B$4,F37&gt;=Targets!$B$5,G37&gt;=Targets!$B$6,H37&gt;=Targets!$B$7,I37&gt;=Targets!$B$8),"On Target","Needs Improvement"))</f>
        <v/>
      </c>
    </row>
    <row r="38" spans="1:12" x14ac:dyDescent="0.25">
      <c r="A38" s="27"/>
      <c r="B38" s="14"/>
      <c r="C38" s="14"/>
      <c r="D38" s="28"/>
      <c r="E38" s="29" t="str">
        <f t="shared" si="1"/>
        <v/>
      </c>
      <c r="F38" s="30"/>
      <c r="G38" s="31"/>
      <c r="H38" s="14"/>
      <c r="I38" s="14"/>
      <c r="J38" s="26" t="str">
        <f>IF(B38="","",IF(B38&gt;=Targets!$B$2,"On Target","Needs Improvement"))</f>
        <v/>
      </c>
      <c r="K38" s="26" t="str">
        <f>IF(C38="","",IF(C38&gt;=Targets!$B$3,"On Target","Needs Improvement"))</f>
        <v/>
      </c>
      <c r="L38" s="26" t="str">
        <f>IF(B38="","",IF(AND(B38&gt;=Targets!$B$2,C38&gt;=Targets!$B$3,E38&lt;=Targets!$B$4,F38&gt;=Targets!$B$5,G38&gt;=Targets!$B$6,H38&gt;=Targets!$B$7,I38&gt;=Targets!$B$8),"On Target","Needs Improvement"))</f>
        <v/>
      </c>
    </row>
    <row r="39" spans="1:12" x14ac:dyDescent="0.25">
      <c r="A39" s="27"/>
      <c r="B39" s="14"/>
      <c r="C39" s="14"/>
      <c r="D39" s="28"/>
      <c r="E39" s="29" t="str">
        <f t="shared" si="1"/>
        <v/>
      </c>
      <c r="F39" s="30"/>
      <c r="G39" s="31"/>
      <c r="H39" s="14"/>
      <c r="I39" s="14"/>
      <c r="J39" s="26" t="str">
        <f>IF(B39="","",IF(B39&gt;=Targets!$B$2,"On Target","Needs Improvement"))</f>
        <v/>
      </c>
      <c r="K39" s="26" t="str">
        <f>IF(C39="","",IF(C39&gt;=Targets!$B$3,"On Target","Needs Improvement"))</f>
        <v/>
      </c>
      <c r="L39" s="26" t="str">
        <f>IF(B39="","",IF(AND(B39&gt;=Targets!$B$2,C39&gt;=Targets!$B$3,E39&lt;=Targets!$B$4,F39&gt;=Targets!$B$5,G39&gt;=Targets!$B$6,H39&gt;=Targets!$B$7,I39&gt;=Targets!$B$8),"On Target","Needs Improvement"))</f>
        <v/>
      </c>
    </row>
    <row r="40" spans="1:12" x14ac:dyDescent="0.25">
      <c r="A40" s="27"/>
      <c r="B40" s="14"/>
      <c r="C40" s="14"/>
      <c r="D40" s="28"/>
      <c r="E40" s="29" t="str">
        <f t="shared" si="1"/>
        <v/>
      </c>
      <c r="F40" s="30"/>
      <c r="G40" s="31"/>
      <c r="H40" s="14"/>
      <c r="I40" s="14"/>
      <c r="J40" s="26" t="str">
        <f>IF(B40="","",IF(B40&gt;=Targets!$B$2,"On Target","Needs Improvement"))</f>
        <v/>
      </c>
      <c r="K40" s="26" t="str">
        <f>IF(C40="","",IF(C40&gt;=Targets!$B$3,"On Target","Needs Improvement"))</f>
        <v/>
      </c>
      <c r="L40" s="26" t="str">
        <f>IF(B40="","",IF(AND(B40&gt;=Targets!$B$2,C40&gt;=Targets!$B$3,E40&lt;=Targets!$B$4,F40&gt;=Targets!$B$5,G40&gt;=Targets!$B$6,H40&gt;=Targets!$B$7,I40&gt;=Targets!$B$8),"On Target","Needs Improvement"))</f>
        <v/>
      </c>
    </row>
    <row r="41" spans="1:12" x14ac:dyDescent="0.25">
      <c r="A41" s="27"/>
      <c r="B41" s="14"/>
      <c r="C41" s="14"/>
      <c r="D41" s="28"/>
      <c r="E41" s="29" t="str">
        <f t="shared" si="1"/>
        <v/>
      </c>
      <c r="F41" s="30"/>
      <c r="G41" s="31"/>
      <c r="H41" s="14"/>
      <c r="I41" s="14"/>
      <c r="J41" s="26" t="str">
        <f>IF(B41="","",IF(B41&gt;=Targets!$B$2,"On Target","Needs Improvement"))</f>
        <v/>
      </c>
      <c r="K41" s="26" t="str">
        <f>IF(C41="","",IF(C41&gt;=Targets!$B$3,"On Target","Needs Improvement"))</f>
        <v/>
      </c>
      <c r="L41" s="26" t="str">
        <f>IF(B41="","",IF(AND(B41&gt;=Targets!$B$2,C41&gt;=Targets!$B$3,E41&lt;=Targets!$B$4,F41&gt;=Targets!$B$5,G41&gt;=Targets!$B$6,H41&gt;=Targets!$B$7,I41&gt;=Targets!$B$8),"On Target","Needs Improvement"))</f>
        <v/>
      </c>
    </row>
    <row r="42" spans="1:12" x14ac:dyDescent="0.25">
      <c r="A42" s="27"/>
      <c r="B42" s="14"/>
      <c r="C42" s="14"/>
      <c r="D42" s="28"/>
      <c r="E42" s="29" t="str">
        <f t="shared" si="1"/>
        <v/>
      </c>
      <c r="F42" s="30"/>
      <c r="G42" s="31"/>
      <c r="H42" s="14"/>
      <c r="I42" s="14"/>
      <c r="J42" s="26" t="str">
        <f>IF(B42="","",IF(B42&gt;=Targets!$B$2,"On Target","Needs Improvement"))</f>
        <v/>
      </c>
      <c r="K42" s="26" t="str">
        <f>IF(C42="","",IF(C42&gt;=Targets!$B$3,"On Target","Needs Improvement"))</f>
        <v/>
      </c>
      <c r="L42" s="26" t="str">
        <f>IF(B42="","",IF(AND(B42&gt;=Targets!$B$2,C42&gt;=Targets!$B$3,E42&lt;=Targets!$B$4,F42&gt;=Targets!$B$5,G42&gt;=Targets!$B$6,H42&gt;=Targets!$B$7,I42&gt;=Targets!$B$8),"On Target","Needs Improvement"))</f>
        <v/>
      </c>
    </row>
    <row r="43" spans="1:12" x14ac:dyDescent="0.25">
      <c r="A43" s="27"/>
      <c r="B43" s="14"/>
      <c r="C43" s="14"/>
      <c r="D43" s="28"/>
      <c r="E43" s="29" t="str">
        <f t="shared" si="1"/>
        <v/>
      </c>
      <c r="F43" s="30"/>
      <c r="G43" s="31"/>
      <c r="H43" s="14"/>
      <c r="I43" s="14"/>
      <c r="J43" s="26" t="str">
        <f>IF(B43="","",IF(B43&gt;=Targets!$B$2,"On Target","Needs Improvement"))</f>
        <v/>
      </c>
      <c r="K43" s="26" t="str">
        <f>IF(C43="","",IF(C43&gt;=Targets!$B$3,"On Target","Needs Improvement"))</f>
        <v/>
      </c>
      <c r="L43" s="26" t="str">
        <f>IF(B43="","",IF(AND(B43&gt;=Targets!$B$2,C43&gt;=Targets!$B$3,E43&lt;=Targets!$B$4,F43&gt;=Targets!$B$5,G43&gt;=Targets!$B$6,H43&gt;=Targets!$B$7,I43&gt;=Targets!$B$8),"On Target","Needs Improvement"))</f>
        <v/>
      </c>
    </row>
    <row r="44" spans="1:12" x14ac:dyDescent="0.25">
      <c r="A44" s="27"/>
      <c r="B44" s="14"/>
      <c r="C44" s="14"/>
      <c r="D44" s="28"/>
      <c r="E44" s="29" t="str">
        <f t="shared" si="1"/>
        <v/>
      </c>
      <c r="F44" s="30"/>
      <c r="G44" s="31"/>
      <c r="H44" s="14"/>
      <c r="I44" s="14"/>
      <c r="J44" s="26" t="str">
        <f>IF(B44="","",IF(B44&gt;=Targets!$B$2,"On Target","Needs Improvement"))</f>
        <v/>
      </c>
      <c r="K44" s="26" t="str">
        <f>IF(C44="","",IF(C44&gt;=Targets!$B$3,"On Target","Needs Improvement"))</f>
        <v/>
      </c>
      <c r="L44" s="26" t="str">
        <f>IF(B44="","",IF(AND(B44&gt;=Targets!$B$2,C44&gt;=Targets!$B$3,E44&lt;=Targets!$B$4,F44&gt;=Targets!$B$5,G44&gt;=Targets!$B$6,H44&gt;=Targets!$B$7,I44&gt;=Targets!$B$8),"On Target","Needs Improvement"))</f>
        <v/>
      </c>
    </row>
    <row r="45" spans="1:12" x14ac:dyDescent="0.25">
      <c r="A45" s="27"/>
      <c r="B45" s="14"/>
      <c r="C45" s="14"/>
      <c r="D45" s="28"/>
      <c r="E45" s="29" t="str">
        <f t="shared" si="1"/>
        <v/>
      </c>
      <c r="F45" s="30"/>
      <c r="G45" s="31"/>
      <c r="H45" s="14"/>
      <c r="I45" s="14"/>
      <c r="J45" s="26" t="str">
        <f>IF(B45="","",IF(B45&gt;=Targets!$B$2,"On Target","Needs Improvement"))</f>
        <v/>
      </c>
      <c r="K45" s="26" t="str">
        <f>IF(C45="","",IF(C45&gt;=Targets!$B$3,"On Target","Needs Improvement"))</f>
        <v/>
      </c>
      <c r="L45" s="26" t="str">
        <f>IF(B45="","",IF(AND(B45&gt;=Targets!$B$2,C45&gt;=Targets!$B$3,E45&lt;=Targets!$B$4,F45&gt;=Targets!$B$5,G45&gt;=Targets!$B$6,H45&gt;=Targets!$B$7,I45&gt;=Targets!$B$8),"On Target","Needs Improvement"))</f>
        <v/>
      </c>
    </row>
    <row r="46" spans="1:12" x14ac:dyDescent="0.25">
      <c r="A46" s="27"/>
      <c r="B46" s="14"/>
      <c r="C46" s="14"/>
      <c r="D46" s="28"/>
      <c r="E46" s="29" t="str">
        <f t="shared" si="1"/>
        <v/>
      </c>
      <c r="F46" s="30"/>
      <c r="G46" s="31"/>
      <c r="H46" s="14"/>
      <c r="I46" s="14"/>
      <c r="J46" s="26" t="str">
        <f>IF(B46="","",IF(B46&gt;=Targets!$B$2,"On Target","Needs Improvement"))</f>
        <v/>
      </c>
      <c r="K46" s="26" t="str">
        <f>IF(C46="","",IF(C46&gt;=Targets!$B$3,"On Target","Needs Improvement"))</f>
        <v/>
      </c>
      <c r="L46" s="26" t="str">
        <f>IF(B46="","",IF(AND(B46&gt;=Targets!$B$2,C46&gt;=Targets!$B$3,E46&lt;=Targets!$B$4,F46&gt;=Targets!$B$5,G46&gt;=Targets!$B$6,H46&gt;=Targets!$B$7,I46&gt;=Targets!$B$8),"On Target","Needs Improvement"))</f>
        <v/>
      </c>
    </row>
    <row r="47" spans="1:12" x14ac:dyDescent="0.25">
      <c r="A47" s="27"/>
      <c r="B47" s="14"/>
      <c r="C47" s="14"/>
      <c r="D47" s="28"/>
      <c r="E47" s="29" t="str">
        <f t="shared" si="1"/>
        <v/>
      </c>
      <c r="F47" s="30"/>
      <c r="G47" s="31"/>
      <c r="H47" s="14"/>
      <c r="I47" s="14"/>
      <c r="J47" s="26" t="str">
        <f>IF(B47="","",IF(B47&gt;=Targets!$B$2,"On Target","Needs Improvement"))</f>
        <v/>
      </c>
      <c r="K47" s="26" t="str">
        <f>IF(C47="","",IF(C47&gt;=Targets!$B$3,"On Target","Needs Improvement"))</f>
        <v/>
      </c>
      <c r="L47" s="26" t="str">
        <f>IF(B47="","",IF(AND(B47&gt;=Targets!$B$2,C47&gt;=Targets!$B$3,E47&lt;=Targets!$B$4,F47&gt;=Targets!$B$5,G47&gt;=Targets!$B$6,H47&gt;=Targets!$B$7,I47&gt;=Targets!$B$8),"On Target","Needs Improvement"))</f>
        <v/>
      </c>
    </row>
    <row r="48" spans="1:12" x14ac:dyDescent="0.25">
      <c r="A48" s="27"/>
      <c r="B48" s="14"/>
      <c r="C48" s="14"/>
      <c r="D48" s="28"/>
      <c r="E48" s="29" t="str">
        <f t="shared" si="1"/>
        <v/>
      </c>
      <c r="F48" s="30"/>
      <c r="G48" s="31"/>
      <c r="H48" s="14"/>
      <c r="I48" s="14"/>
      <c r="J48" s="26" t="str">
        <f>IF(B48="","",IF(B48&gt;=Targets!$B$2,"On Target","Needs Improvement"))</f>
        <v/>
      </c>
      <c r="K48" s="26" t="str">
        <f>IF(C48="","",IF(C48&gt;=Targets!$B$3,"On Target","Needs Improvement"))</f>
        <v/>
      </c>
      <c r="L48" s="26" t="str">
        <f>IF(B48="","",IF(AND(B48&gt;=Targets!$B$2,C48&gt;=Targets!$B$3,E48&lt;=Targets!$B$4,F48&gt;=Targets!$B$5,G48&gt;=Targets!$B$6,H48&gt;=Targets!$B$7,I48&gt;=Targets!$B$8),"On Target","Needs Improvement"))</f>
        <v/>
      </c>
    </row>
    <row r="49" spans="1:12" x14ac:dyDescent="0.25">
      <c r="A49" s="27"/>
      <c r="B49" s="14"/>
      <c r="C49" s="14"/>
      <c r="D49" s="28"/>
      <c r="E49" s="29" t="str">
        <f t="shared" si="1"/>
        <v/>
      </c>
      <c r="F49" s="30"/>
      <c r="G49" s="31"/>
      <c r="H49" s="14"/>
      <c r="I49" s="14"/>
      <c r="J49" s="26" t="str">
        <f>IF(B49="","",IF(B49&gt;=Targets!$B$2,"On Target","Needs Improvement"))</f>
        <v/>
      </c>
      <c r="K49" s="26" t="str">
        <f>IF(C49="","",IF(C49&gt;=Targets!$B$3,"On Target","Needs Improvement"))</f>
        <v/>
      </c>
      <c r="L49" s="26" t="str">
        <f>IF(B49="","",IF(AND(B49&gt;=Targets!$B$2,C49&gt;=Targets!$B$3,E49&lt;=Targets!$B$4,F49&gt;=Targets!$B$5,G49&gt;=Targets!$B$6,H49&gt;=Targets!$B$7,I49&gt;=Targets!$B$8),"On Target","Needs Improvement"))</f>
        <v/>
      </c>
    </row>
    <row r="50" spans="1:12" x14ac:dyDescent="0.25">
      <c r="A50" s="27"/>
      <c r="B50" s="14"/>
      <c r="C50" s="14"/>
      <c r="D50" s="28"/>
      <c r="E50" s="29" t="str">
        <f t="shared" si="1"/>
        <v/>
      </c>
      <c r="F50" s="30"/>
      <c r="G50" s="31"/>
      <c r="H50" s="14"/>
      <c r="I50" s="14"/>
      <c r="J50" s="26" t="str">
        <f>IF(B50="","",IF(B50&gt;=Targets!$B$2,"On Target","Needs Improvement"))</f>
        <v/>
      </c>
      <c r="K50" s="26" t="str">
        <f>IF(C50="","",IF(C50&gt;=Targets!$B$3,"On Target","Needs Improvement"))</f>
        <v/>
      </c>
      <c r="L50" s="26" t="str">
        <f>IF(B50="","",IF(AND(B50&gt;=Targets!$B$2,C50&gt;=Targets!$B$3,E50&lt;=Targets!$B$4,F50&gt;=Targets!$B$5,G50&gt;=Targets!$B$6,H50&gt;=Targets!$B$7,I50&gt;=Targets!$B$8),"On Target","Needs Improvement"))</f>
        <v/>
      </c>
    </row>
    <row r="51" spans="1:12" x14ac:dyDescent="0.25">
      <c r="A51" s="27"/>
      <c r="B51" s="14"/>
      <c r="C51" s="14"/>
      <c r="D51" s="28"/>
      <c r="E51" s="29" t="str">
        <f t="shared" si="1"/>
        <v/>
      </c>
      <c r="F51" s="30"/>
      <c r="G51" s="31"/>
      <c r="H51" s="14"/>
      <c r="I51" s="14"/>
      <c r="J51" s="26" t="str">
        <f>IF(B51="","",IF(B51&gt;=Targets!$B$2,"On Target","Needs Improvement"))</f>
        <v/>
      </c>
      <c r="K51" s="26" t="str">
        <f>IF(C51="","",IF(C51&gt;=Targets!$B$3,"On Target","Needs Improvement"))</f>
        <v/>
      </c>
      <c r="L51" s="26" t="str">
        <f>IF(B51="","",IF(AND(B51&gt;=Targets!$B$2,C51&gt;=Targets!$B$3,E51&lt;=Targets!$B$4,F51&gt;=Targets!$B$5,G51&gt;=Targets!$B$6,H51&gt;=Targets!$B$7,I51&gt;=Targets!$B$8),"On Target","Needs Improvement"))</f>
        <v/>
      </c>
    </row>
    <row r="52" spans="1:12" x14ac:dyDescent="0.25">
      <c r="A52" s="27"/>
      <c r="B52" s="14"/>
      <c r="C52" s="14"/>
      <c r="D52" s="28"/>
      <c r="E52" s="29" t="str">
        <f t="shared" si="1"/>
        <v/>
      </c>
      <c r="F52" s="30"/>
      <c r="G52" s="31"/>
      <c r="H52" s="14"/>
      <c r="I52" s="14"/>
      <c r="J52" s="26" t="str">
        <f>IF(B52="","",IF(B52&gt;=Targets!$B$2,"On Target","Needs Improvement"))</f>
        <v/>
      </c>
      <c r="K52" s="26" t="str">
        <f>IF(C52="","",IF(C52&gt;=Targets!$B$3,"On Target","Needs Improvement"))</f>
        <v/>
      </c>
      <c r="L52" s="26" t="str">
        <f>IF(B52="","",IF(AND(B52&gt;=Targets!$B$2,C52&gt;=Targets!$B$3,E52&lt;=Targets!$B$4,F52&gt;=Targets!$B$5,G52&gt;=Targets!$B$6,H52&gt;=Targets!$B$7,I52&gt;=Targets!$B$8),"On Target","Needs Improvement"))</f>
        <v/>
      </c>
    </row>
    <row r="53" spans="1:12" x14ac:dyDescent="0.25">
      <c r="A53" s="27"/>
      <c r="B53" s="14"/>
      <c r="C53" s="14"/>
      <c r="D53" s="28"/>
      <c r="E53" s="29" t="str">
        <f t="shared" si="1"/>
        <v/>
      </c>
      <c r="F53" s="30"/>
      <c r="G53" s="31"/>
      <c r="H53" s="14"/>
      <c r="I53" s="14"/>
      <c r="J53" s="26" t="str">
        <f>IF(B53="","",IF(B53&gt;=Targets!$B$2,"On Target","Needs Improvement"))</f>
        <v/>
      </c>
      <c r="K53" s="26" t="str">
        <f>IF(C53="","",IF(C53&gt;=Targets!$B$3,"On Target","Needs Improvement"))</f>
        <v/>
      </c>
      <c r="L53" s="26" t="str">
        <f>IF(B53="","",IF(AND(B53&gt;=Targets!$B$2,C53&gt;=Targets!$B$3,E53&lt;=Targets!$B$4,F53&gt;=Targets!$B$5,G53&gt;=Targets!$B$6,H53&gt;=Targets!$B$7,I53&gt;=Targets!$B$8),"On Target","Needs Improvement"))</f>
        <v/>
      </c>
    </row>
    <row r="54" spans="1:12" x14ac:dyDescent="0.25">
      <c r="A54" s="27"/>
      <c r="B54" s="14"/>
      <c r="C54" s="14"/>
      <c r="D54" s="28"/>
      <c r="E54" s="29" t="str">
        <f t="shared" si="1"/>
        <v/>
      </c>
      <c r="F54" s="30"/>
      <c r="G54" s="31"/>
      <c r="H54" s="14"/>
      <c r="I54" s="14"/>
      <c r="J54" s="26" t="str">
        <f>IF(B54="","",IF(B54&gt;=Targets!$B$2,"On Target","Needs Improvement"))</f>
        <v/>
      </c>
      <c r="K54" s="26" t="str">
        <f>IF(C54="","",IF(C54&gt;=Targets!$B$3,"On Target","Needs Improvement"))</f>
        <v/>
      </c>
      <c r="L54" s="26" t="str">
        <f>IF(B54="","",IF(AND(B54&gt;=Targets!$B$2,C54&gt;=Targets!$B$3,E54&lt;=Targets!$B$4,F54&gt;=Targets!$B$5,G54&gt;=Targets!$B$6,H54&gt;=Targets!$B$7,I54&gt;=Targets!$B$8),"On Target","Needs Improvement"))</f>
        <v/>
      </c>
    </row>
    <row r="55" spans="1:12" x14ac:dyDescent="0.25">
      <c r="A55" s="27"/>
      <c r="B55" s="14"/>
      <c r="C55" s="14"/>
      <c r="D55" s="28"/>
      <c r="E55" s="29" t="str">
        <f t="shared" si="1"/>
        <v/>
      </c>
      <c r="F55" s="30"/>
      <c r="G55" s="31"/>
      <c r="H55" s="14"/>
      <c r="I55" s="14"/>
      <c r="J55" s="26" t="str">
        <f>IF(B55="","",IF(B55&gt;=Targets!$B$2,"On Target","Needs Improvement"))</f>
        <v/>
      </c>
      <c r="K55" s="26" t="str">
        <f>IF(C55="","",IF(C55&gt;=Targets!$B$3,"On Target","Needs Improvement"))</f>
        <v/>
      </c>
      <c r="L55" s="26" t="str">
        <f>IF(B55="","",IF(AND(B55&gt;=Targets!$B$2,C55&gt;=Targets!$B$3,E55&lt;=Targets!$B$4,F55&gt;=Targets!$B$5,G55&gt;=Targets!$B$6,H55&gt;=Targets!$B$7,I55&gt;=Targets!$B$8),"On Target","Needs Improvement"))</f>
        <v/>
      </c>
    </row>
    <row r="56" spans="1:12" x14ac:dyDescent="0.25">
      <c r="A56" s="27"/>
      <c r="B56" s="14"/>
      <c r="C56" s="14"/>
      <c r="D56" s="28"/>
      <c r="E56" s="29" t="str">
        <f t="shared" si="1"/>
        <v/>
      </c>
      <c r="F56" s="30"/>
      <c r="G56" s="31"/>
      <c r="H56" s="14"/>
      <c r="I56" s="14"/>
      <c r="J56" s="26" t="str">
        <f>IF(B56="","",IF(B56&gt;=Targets!$B$2,"On Target","Needs Improvement"))</f>
        <v/>
      </c>
      <c r="K56" s="26" t="str">
        <f>IF(C56="","",IF(C56&gt;=Targets!$B$3,"On Target","Needs Improvement"))</f>
        <v/>
      </c>
      <c r="L56" s="26" t="str">
        <f>IF(B56="","",IF(AND(B56&gt;=Targets!$B$2,C56&gt;=Targets!$B$3,E56&lt;=Targets!$B$4,F56&gt;=Targets!$B$5,G56&gt;=Targets!$B$6,H56&gt;=Targets!$B$7,I56&gt;=Targets!$B$8),"On Target","Needs Improvement"))</f>
        <v/>
      </c>
    </row>
    <row r="57" spans="1:12" x14ac:dyDescent="0.25">
      <c r="A57" s="27"/>
      <c r="B57" s="14"/>
      <c r="C57" s="14"/>
      <c r="D57" s="28"/>
      <c r="E57" s="29" t="str">
        <f t="shared" si="1"/>
        <v/>
      </c>
      <c r="F57" s="30"/>
      <c r="G57" s="31"/>
      <c r="H57" s="14"/>
      <c r="I57" s="14"/>
      <c r="J57" s="26" t="str">
        <f>IF(B57="","",IF(B57&gt;=Targets!$B$2,"On Target","Needs Improvement"))</f>
        <v/>
      </c>
      <c r="K57" s="26" t="str">
        <f>IF(C57="","",IF(C57&gt;=Targets!$B$3,"On Target","Needs Improvement"))</f>
        <v/>
      </c>
      <c r="L57" s="26" t="str">
        <f>IF(B57="","",IF(AND(B57&gt;=Targets!$B$2,C57&gt;=Targets!$B$3,E57&lt;=Targets!$B$4,F57&gt;=Targets!$B$5,G57&gt;=Targets!$B$6,H57&gt;=Targets!$B$7,I57&gt;=Targets!$B$8),"On Target","Needs Improvement"))</f>
        <v/>
      </c>
    </row>
    <row r="58" spans="1:12" x14ac:dyDescent="0.25">
      <c r="A58" s="27"/>
      <c r="B58" s="14"/>
      <c r="C58" s="14"/>
      <c r="D58" s="28"/>
      <c r="E58" s="29" t="str">
        <f t="shared" si="1"/>
        <v/>
      </c>
      <c r="F58" s="30"/>
      <c r="G58" s="31"/>
      <c r="H58" s="14"/>
      <c r="I58" s="14"/>
      <c r="J58" s="26" t="str">
        <f>IF(B58="","",IF(B58&gt;=Targets!$B$2,"On Target","Needs Improvement"))</f>
        <v/>
      </c>
      <c r="K58" s="26" t="str">
        <f>IF(C58="","",IF(C58&gt;=Targets!$B$3,"On Target","Needs Improvement"))</f>
        <v/>
      </c>
      <c r="L58" s="26" t="str">
        <f>IF(B58="","",IF(AND(B58&gt;=Targets!$B$2,C58&gt;=Targets!$B$3,E58&lt;=Targets!$B$4,F58&gt;=Targets!$B$5,G58&gt;=Targets!$B$6,H58&gt;=Targets!$B$7,I58&gt;=Targets!$B$8),"On Target","Needs Improvement"))</f>
        <v/>
      </c>
    </row>
    <row r="59" spans="1:12" x14ac:dyDescent="0.25">
      <c r="A59" s="27"/>
      <c r="B59" s="14"/>
      <c r="C59" s="14"/>
      <c r="D59" s="28"/>
      <c r="E59" s="29" t="str">
        <f t="shared" si="1"/>
        <v/>
      </c>
      <c r="F59" s="30"/>
      <c r="G59" s="31"/>
      <c r="H59" s="14"/>
      <c r="I59" s="14"/>
      <c r="J59" s="26" t="str">
        <f>IF(B59="","",IF(B59&gt;=Targets!$B$2,"On Target","Needs Improvement"))</f>
        <v/>
      </c>
      <c r="K59" s="26" t="str">
        <f>IF(C59="","",IF(C59&gt;=Targets!$B$3,"On Target","Needs Improvement"))</f>
        <v/>
      </c>
      <c r="L59" s="26" t="str">
        <f>IF(B59="","",IF(AND(B59&gt;=Targets!$B$2,C59&gt;=Targets!$B$3,E59&lt;=Targets!$B$4,F59&gt;=Targets!$B$5,G59&gt;=Targets!$B$6,H59&gt;=Targets!$B$7,I59&gt;=Targets!$B$8),"On Target","Needs Improvement"))</f>
        <v/>
      </c>
    </row>
    <row r="60" spans="1:12" x14ac:dyDescent="0.25">
      <c r="A60" s="27"/>
      <c r="B60" s="14"/>
      <c r="C60" s="14"/>
      <c r="D60" s="28"/>
      <c r="E60" s="29" t="str">
        <f t="shared" si="1"/>
        <v/>
      </c>
      <c r="F60" s="30"/>
      <c r="G60" s="31"/>
      <c r="H60" s="14"/>
      <c r="I60" s="14"/>
      <c r="J60" s="26" t="str">
        <f>IF(B60="","",IF(B60&gt;=Targets!$B$2,"On Target","Needs Improvement"))</f>
        <v/>
      </c>
      <c r="K60" s="26" t="str">
        <f>IF(C60="","",IF(C60&gt;=Targets!$B$3,"On Target","Needs Improvement"))</f>
        <v/>
      </c>
      <c r="L60" s="26" t="str">
        <f>IF(B60="","",IF(AND(B60&gt;=Targets!$B$2,C60&gt;=Targets!$B$3,E60&lt;=Targets!$B$4,F60&gt;=Targets!$B$5,G60&gt;=Targets!$B$6,H60&gt;=Targets!$B$7,I60&gt;=Targets!$B$8),"On Target","Needs Improvement"))</f>
        <v/>
      </c>
    </row>
    <row r="61" spans="1:12" x14ac:dyDescent="0.25">
      <c r="A61" s="27"/>
      <c r="B61" s="14"/>
      <c r="C61" s="14"/>
      <c r="D61" s="28"/>
      <c r="E61" s="29" t="str">
        <f t="shared" si="1"/>
        <v/>
      </c>
      <c r="F61" s="30"/>
      <c r="G61" s="31"/>
      <c r="H61" s="14"/>
      <c r="I61" s="14"/>
      <c r="J61" s="26" t="str">
        <f>IF(B61="","",IF(B61&gt;=Targets!$B$2,"On Target","Needs Improvement"))</f>
        <v/>
      </c>
      <c r="K61" s="26" t="str">
        <f>IF(C61="","",IF(C61&gt;=Targets!$B$3,"On Target","Needs Improvement"))</f>
        <v/>
      </c>
      <c r="L61" s="26" t="str">
        <f>IF(B61="","",IF(AND(B61&gt;=Targets!$B$2,C61&gt;=Targets!$B$3,E61&lt;=Targets!$B$4,F61&gt;=Targets!$B$5,G61&gt;=Targets!$B$6,H61&gt;=Targets!$B$7,I61&gt;=Targets!$B$8),"On Target","Needs Improvement"))</f>
        <v/>
      </c>
    </row>
    <row r="62" spans="1:12" x14ac:dyDescent="0.25">
      <c r="A62" s="27"/>
      <c r="B62" s="14"/>
      <c r="C62" s="14"/>
      <c r="D62" s="28"/>
      <c r="E62" s="29" t="str">
        <f t="shared" si="1"/>
        <v/>
      </c>
      <c r="F62" s="30"/>
      <c r="G62" s="31"/>
      <c r="H62" s="14"/>
      <c r="I62" s="14"/>
      <c r="J62" s="26" t="str">
        <f>IF(B62="","",IF(B62&gt;=Targets!$B$2,"On Target","Needs Improvement"))</f>
        <v/>
      </c>
      <c r="K62" s="26" t="str">
        <f>IF(C62="","",IF(C62&gt;=Targets!$B$3,"On Target","Needs Improvement"))</f>
        <v/>
      </c>
      <c r="L62" s="26" t="str">
        <f>IF(B62="","",IF(AND(B62&gt;=Targets!$B$2,C62&gt;=Targets!$B$3,E62&lt;=Targets!$B$4,F62&gt;=Targets!$B$5,G62&gt;=Targets!$B$6,H62&gt;=Targets!$B$7,I62&gt;=Targets!$B$8),"On Target","Needs Improvement"))</f>
        <v/>
      </c>
    </row>
    <row r="63" spans="1:12" x14ac:dyDescent="0.25">
      <c r="A63" s="27"/>
      <c r="B63" s="14"/>
      <c r="C63" s="14"/>
      <c r="D63" s="28"/>
      <c r="E63" s="29" t="str">
        <f t="shared" si="1"/>
        <v/>
      </c>
      <c r="F63" s="30"/>
      <c r="G63" s="31"/>
      <c r="H63" s="14"/>
      <c r="I63" s="14"/>
      <c r="J63" s="26" t="str">
        <f>IF(B63="","",IF(B63&gt;=Targets!$B$2,"On Target","Needs Improvement"))</f>
        <v/>
      </c>
      <c r="K63" s="26" t="str">
        <f>IF(C63="","",IF(C63&gt;=Targets!$B$3,"On Target","Needs Improvement"))</f>
        <v/>
      </c>
      <c r="L63" s="26" t="str">
        <f>IF(B63="","",IF(AND(B63&gt;=Targets!$B$2,C63&gt;=Targets!$B$3,E63&lt;=Targets!$B$4,F63&gt;=Targets!$B$5,G63&gt;=Targets!$B$6,H63&gt;=Targets!$B$7,I63&gt;=Targets!$B$8),"On Target","Needs Improvement"))</f>
        <v/>
      </c>
    </row>
  </sheetData>
  <mergeCells count="1">
    <mergeCell ref="A1:O1"/>
  </mergeCells>
  <conditionalFormatting sqref="J3:L63">
    <cfRule type="cellIs" dxfId="6" priority="2" operator="equal">
      <formula>"On Target"</formula>
    </cfRule>
    <cfRule type="cellIs" dxfId="5" priority="3" operator="equal">
      <formula>"Needs Improvement"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"/>
  <sheetViews>
    <sheetView showGridLines="0" topLeftCell="A64" zoomScaleNormal="100" workbookViewId="0">
      <selection sqref="A1:L1"/>
    </sheetView>
  </sheetViews>
  <sheetFormatPr defaultColWidth="8.7109375" defaultRowHeight="15" x14ac:dyDescent="0.25"/>
  <cols>
    <col min="1" max="1" width="16" customWidth="1"/>
    <col min="2" max="4" width="10" customWidth="1"/>
    <col min="5" max="5" width="55" customWidth="1"/>
    <col min="6" max="12" width="11" customWidth="1"/>
  </cols>
  <sheetData>
    <row r="1" spans="1:12" ht="30" customHeight="1" x14ac:dyDescent="0.25">
      <c r="A1" s="7" t="s">
        <v>65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ht="15.75" x14ac:dyDescent="0.25">
      <c r="A3" s="32" t="s">
        <v>66</v>
      </c>
    </row>
    <row r="5" spans="1:12" ht="15" customHeight="1" x14ac:dyDescent="0.25">
      <c r="A5" s="6" t="s">
        <v>40</v>
      </c>
      <c r="B5" s="6"/>
      <c r="D5" s="6" t="s">
        <v>43</v>
      </c>
      <c r="E5" s="6"/>
      <c r="G5" s="6" t="s">
        <v>59</v>
      </c>
      <c r="H5" s="6"/>
      <c r="J5" s="6" t="s">
        <v>48</v>
      </c>
      <c r="K5" s="6"/>
    </row>
    <row r="6" spans="1:12" x14ac:dyDescent="0.25">
      <c r="A6" s="5">
        <f>IFERROR(INDEX('Daily Tracker'!$B$3:$B$63,COUNT('Daily Tracker'!$B$3:$B$63)),"")</f>
        <v>0.75</v>
      </c>
      <c r="B6" s="5"/>
      <c r="D6" s="5">
        <f>IFERROR(INDEX('Daily Tracker'!$C$3:$C$63,COUNT('Daily Tracker'!$C$3:$C$63)),"")</f>
        <v>0.2</v>
      </c>
      <c r="E6" s="5"/>
      <c r="G6" s="4">
        <f>IFERROR(INDEX('Daily Tracker'!$E$3:$E$63,COUNT('Daily Tracker'!$E$3:$E$63)),"")</f>
        <v>5.5</v>
      </c>
      <c r="H6" s="4"/>
      <c r="J6" s="4">
        <f>IFERROR(INDEX('Daily Tracker'!$F$3:$F$63,COUNT('Daily Tracker'!$F$3:$F$63)),"")</f>
        <v>1.65</v>
      </c>
      <c r="K6" s="4"/>
    </row>
    <row r="7" spans="1:12" x14ac:dyDescent="0.25">
      <c r="A7" s="5"/>
      <c r="B7" s="5"/>
      <c r="D7" s="5"/>
      <c r="E7" s="5"/>
      <c r="G7" s="4"/>
      <c r="H7" s="4"/>
      <c r="J7" s="4"/>
      <c r="K7" s="4"/>
    </row>
    <row r="8" spans="1:12" x14ac:dyDescent="0.25">
      <c r="A8" s="3" t="str">
        <f>"Target: "&amp;TEXT(Targets!$B$2,"0.0%")</f>
        <v>Target: 65.0%</v>
      </c>
      <c r="B8" s="3"/>
      <c r="D8" s="3" t="str">
        <f>"Target: "&amp;TEXT(Targets!$B$3,"0.0%")</f>
        <v>Target: 80.0%</v>
      </c>
      <c r="E8" s="3"/>
      <c r="G8" s="3" t="str">
        <f>"Target: "&amp;TEXT(Targets!$B$4,"0.00")</f>
        <v>Target: 365.00</v>
      </c>
      <c r="H8" s="3"/>
      <c r="J8" s="3" t="str">
        <f>"Target: "&amp;TEXT(Targets!$B$5,"0.00")</f>
        <v>Target: 1.50</v>
      </c>
      <c r="K8" s="3"/>
    </row>
    <row r="9" spans="1:12" ht="22.35" customHeight="1" x14ac:dyDescent="0.25">
      <c r="A9" s="6" t="s">
        <v>60</v>
      </c>
      <c r="B9" s="6"/>
      <c r="D9" s="6" t="s">
        <v>52</v>
      </c>
      <c r="E9" s="6"/>
      <c r="G9" s="6" t="s">
        <v>54</v>
      </c>
      <c r="H9" s="6"/>
    </row>
    <row r="10" spans="1:12" x14ac:dyDescent="0.25">
      <c r="A10" s="2">
        <f>IFERROR(INDEX('Daily Tracker'!$G$3:$G$63,COUNT('Daily Tracker'!$G$3:$G$63)),"")</f>
        <v>6</v>
      </c>
      <c r="B10" s="2"/>
      <c r="D10" s="5">
        <f>IFERROR(INDEX('Daily Tracker'!$H$3:$H$63,COUNT('Daily Tracker'!$H$3:$H$63)),"")</f>
        <v>0.96</v>
      </c>
      <c r="E10" s="5"/>
      <c r="G10" s="5">
        <f>IFERROR(INDEX('Daily Tracker'!$I$3:$I$63,COUNT('Daily Tracker'!$I$3:$I$63)),"")</f>
        <v>0.97</v>
      </c>
      <c r="H10" s="5"/>
    </row>
    <row r="11" spans="1:12" x14ac:dyDescent="0.25">
      <c r="A11" s="2"/>
      <c r="B11" s="2"/>
      <c r="D11" s="5"/>
      <c r="E11" s="5"/>
      <c r="G11" s="5"/>
      <c r="H11" s="5"/>
    </row>
    <row r="12" spans="1:12" x14ac:dyDescent="0.25">
      <c r="A12" s="3" t="str">
        <f>"Target: "&amp;TEXT(Targets!$B$6,"0")</f>
        <v>Target: 2</v>
      </c>
      <c r="B12" s="3"/>
      <c r="D12" s="3" t="str">
        <f>"Target: "&amp;TEXT(Targets!$B$7,"0.0%")</f>
        <v>Target: 87.0%</v>
      </c>
      <c r="E12" s="3"/>
      <c r="G12" s="3" t="str">
        <f>"Target: "&amp;TEXT(Targets!$B$8,"0.0%")</f>
        <v>Target: 95.0%</v>
      </c>
      <c r="H12" s="3"/>
    </row>
    <row r="18" spans="1:5" ht="15.75" x14ac:dyDescent="0.25">
      <c r="A18" s="32" t="s">
        <v>67</v>
      </c>
    </row>
    <row r="19" spans="1:5" ht="25.5" customHeight="1" x14ac:dyDescent="0.25">
      <c r="A19" s="1" t="s">
        <v>68</v>
      </c>
      <c r="B19" s="1"/>
      <c r="C19" s="1"/>
      <c r="D19" s="1"/>
      <c r="E19" s="1"/>
    </row>
    <row r="20" spans="1:5" x14ac:dyDescent="0.25">
      <c r="A20" s="19" t="s">
        <v>36</v>
      </c>
      <c r="B20" s="19" t="s">
        <v>69</v>
      </c>
      <c r="C20" s="19" t="s">
        <v>37</v>
      </c>
      <c r="D20" s="19" t="s">
        <v>70</v>
      </c>
      <c r="E20" s="19" t="s">
        <v>71</v>
      </c>
    </row>
    <row r="21" spans="1:5" ht="30" customHeight="1" x14ac:dyDescent="0.25">
      <c r="A21" s="13" t="s">
        <v>40</v>
      </c>
      <c r="B21" s="33">
        <f>IFERROR(INDEX('Daily Tracker'!$B$3:$B$63,COUNT('Daily Tracker'!$B$3:$B$63)),"")</f>
        <v>0.75</v>
      </c>
      <c r="C21" s="33">
        <f>Targets!$B$2</f>
        <v>0.65</v>
      </c>
      <c r="D21" s="33">
        <f>C21-B21</f>
        <v>-9.9999999999999978E-2</v>
      </c>
      <c r="E21" s="34" t="str">
        <f>IF(B21="","No data yet",IF(B21&gt;=C21,"On target - no action needed","Close a "&amp;TEXT(C21-B21,"0.0%")&amp;" FCR gap vs. target (survey-reported, not call-volume driven)"))</f>
        <v>On target - no action needed</v>
      </c>
    </row>
    <row r="22" spans="1:5" ht="30" customHeight="1" x14ac:dyDescent="0.25">
      <c r="A22" s="13" t="s">
        <v>43</v>
      </c>
      <c r="B22" s="33">
        <f>IFERROR(INDEX('Daily Tracker'!$C$3:$C$63,COUNT('Daily Tracker'!$C$3:$C$63)),"")</f>
        <v>0.2</v>
      </c>
      <c r="C22" s="33">
        <f>Targets!$B$3</f>
        <v>0.8</v>
      </c>
      <c r="D22" s="33">
        <f>C22-B22</f>
        <v>0.60000000000000009</v>
      </c>
      <c r="E22" s="34" t="str">
        <f>IF(B22="","No data yet",IF(B22&gt;=C22,"On target - no action needed","Close a "&amp;TEXT(C22-B22,"0.0%")&amp;" Resolution gap vs. target (survey-reported, not call-volume driven)"))</f>
        <v>Close a 60.0% Resolution gap vs. target (survey-reported, not call-volume driven)</v>
      </c>
    </row>
    <row r="23" spans="1:5" ht="30" customHeight="1" x14ac:dyDescent="0.25">
      <c r="A23" s="13" t="s">
        <v>59</v>
      </c>
      <c r="B23" s="35">
        <f>IFERROR(INDEX('Daily Tracker'!$E$3:$E$63,COUNT('Daily Tracker'!$E$3:$E$63)),"")</f>
        <v>5.5</v>
      </c>
      <c r="C23" s="35">
        <f>Targets!$B$4</f>
        <v>365</v>
      </c>
      <c r="D23" s="35">
        <f>B23-C23</f>
        <v>-359.5</v>
      </c>
      <c r="E23" s="34" t="str">
        <f>IF(B23="","No data yet",IF(B23&lt;=C23,"On target - no action needed","Cut average handle time by "&amp;TEXT(B23-C23,"0.00")&amp;" minutes per call"))</f>
        <v>On target - no action needed</v>
      </c>
    </row>
    <row r="24" spans="1:5" ht="30" customHeight="1" x14ac:dyDescent="0.25">
      <c r="A24" s="13" t="s">
        <v>48</v>
      </c>
      <c r="B24" s="35">
        <f>IFERROR(INDEX('Daily Tracker'!$F$3:$F$63,COUNT('Daily Tracker'!$F$3:$F$63)),"")</f>
        <v>1.65</v>
      </c>
      <c r="C24" s="35">
        <f>Targets!$B$5</f>
        <v>1.5</v>
      </c>
      <c r="D24" s="35">
        <f>C24-B24</f>
        <v>-0.14999999999999991</v>
      </c>
      <c r="E24" s="34" t="str">
        <f>IF(B24="","No data yet",IF(B24&gt;=C24,"On target - no action needed","Close a "&amp;TEXT(C24-B24,"0.00")&amp;" sentiment-score gap vs. target"))</f>
        <v>On target - no action needed</v>
      </c>
    </row>
    <row r="25" spans="1:5" ht="30" customHeight="1" x14ac:dyDescent="0.25">
      <c r="A25" s="13" t="s">
        <v>50</v>
      </c>
      <c r="B25" s="36">
        <f>IFERROR(INDEX('Daily Tracker'!$G$3:$G$63,COUNT('Daily Tracker'!$G$3:$G$63)),"")</f>
        <v>6</v>
      </c>
      <c r="C25" s="36">
        <f>Targets!$B$6</f>
        <v>2</v>
      </c>
      <c r="D25" s="36">
        <f>C25-B25</f>
        <v>-4</v>
      </c>
      <c r="E25" s="34" t="str">
        <f>IF(B25="","No data yet",IF(B25&gt;=C25,"On target - no action needed","Complete "&amp;TEXT(C25-B25,"0")&amp;" more improvement interaction(s) today"))</f>
        <v>On target - no action needed</v>
      </c>
    </row>
    <row r="26" spans="1:5" ht="30" customHeight="1" x14ac:dyDescent="0.25">
      <c r="A26" s="13" t="s">
        <v>52</v>
      </c>
      <c r="B26" s="33">
        <f>IFERROR(INDEX('Daily Tracker'!$H$3:$H$63,COUNT('Daily Tracker'!$H$3:$H$63)),"")</f>
        <v>0.96</v>
      </c>
      <c r="C26" s="33">
        <f>Targets!$B$7</f>
        <v>0.87</v>
      </c>
      <c r="D26" s="33">
        <f>C26-B26</f>
        <v>-8.9999999999999969E-2</v>
      </c>
      <c r="E26" s="34" t="str">
        <f>IF(B26="","No data yet",IF(B26&gt;=C26,"On target - no action needed","Close a "&amp;TEXT(C26-B26,"0.0%")&amp;" OSA gap vs. target"))</f>
        <v>On target - no action needed</v>
      </c>
    </row>
    <row r="27" spans="1:5" ht="30" customHeight="1" x14ac:dyDescent="0.25">
      <c r="A27" s="13" t="s">
        <v>54</v>
      </c>
      <c r="B27" s="33">
        <f>IFERROR(INDEX('Daily Tracker'!$I$3:$I$63,COUNT('Daily Tracker'!$I$3:$I$63)),"")</f>
        <v>0.97</v>
      </c>
      <c r="C27" s="33">
        <f>Targets!$B$8</f>
        <v>0.95</v>
      </c>
      <c r="D27" s="33">
        <f>C27-B27</f>
        <v>-2.0000000000000018E-2</v>
      </c>
      <c r="E27" s="34" t="str">
        <f>IF(B27="","No data yet",IF(B27&gt;=C27,"On target - no action needed","Close a "&amp;TEXT(C27-B27,"0.0%")&amp;" adherence gap vs. target"))</f>
        <v>On target - no action needed</v>
      </c>
    </row>
    <row r="30" spans="1:5" ht="15.75" x14ac:dyDescent="0.25">
      <c r="A30" s="32" t="s">
        <v>72</v>
      </c>
    </row>
  </sheetData>
  <mergeCells count="23">
    <mergeCell ref="A12:B12"/>
    <mergeCell ref="D12:E12"/>
    <mergeCell ref="G12:H12"/>
    <mergeCell ref="A19:E19"/>
    <mergeCell ref="A9:B9"/>
    <mergeCell ref="D9:E9"/>
    <mergeCell ref="G9:H9"/>
    <mergeCell ref="A10:B11"/>
    <mergeCell ref="D10:E11"/>
    <mergeCell ref="G10:H11"/>
    <mergeCell ref="A6:B7"/>
    <mergeCell ref="D6:E7"/>
    <mergeCell ref="G6:H7"/>
    <mergeCell ref="J6:K7"/>
    <mergeCell ref="A8:B8"/>
    <mergeCell ref="D8:E8"/>
    <mergeCell ref="G8:H8"/>
    <mergeCell ref="J8:K8"/>
    <mergeCell ref="A1:L1"/>
    <mergeCell ref="A5:B5"/>
    <mergeCell ref="D5:E5"/>
    <mergeCell ref="G5:H5"/>
    <mergeCell ref="J5:K5"/>
  </mergeCells>
  <conditionalFormatting sqref="E21:E27">
    <cfRule type="expression" dxfId="4" priority="2">
      <formula>ISNUMBER(SEARCH("On target",E21))</formula>
    </cfRule>
    <cfRule type="expression" dxfId="3" priority="3">
      <formula>ISNUMBER(SEARCH("more",E21))</formula>
    </cfRule>
    <cfRule type="expression" dxfId="2" priority="4">
      <formula>ISNUMBER(SEARCH("Cut",E21))</formula>
    </cfRule>
    <cfRule type="expression" dxfId="1" priority="5">
      <formula>ISNUMBER(SEARCH("Close",E21))</formula>
    </cfRule>
    <cfRule type="expression" dxfId="0" priority="6">
      <formula>ISNUMBER(SEARCH("Complete",E21))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Targets</vt:lpstr>
      <vt:lpstr>Daily 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Honey Flores</cp:lastModifiedBy>
  <cp:revision>1</cp:revision>
  <dcterms:created xsi:type="dcterms:W3CDTF">2026-10-13T19:17:29Z</dcterms:created>
  <dcterms:modified xsi:type="dcterms:W3CDTF">2026-10-13T19:18:55Z</dcterms:modified>
  <dc:language>en-US</dc:language>
</cp:coreProperties>
</file>