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@HoneyPortfolio\Flores-Honey-PORTFOLIO\files\"/>
    </mc:Choice>
  </mc:AlternateContent>
  <xr:revisionPtr revIDLastSave="0" documentId="8_{04E09F0A-61C7-4A4D-847C-67B0208C7E59}" xr6:coauthVersionLast="47" xr6:coauthVersionMax="47" xr10:uidLastSave="{00000000-0000-0000-0000-000000000000}"/>
  <bookViews>
    <workbookView xWindow="-120" yWindow="480" windowWidth="29040" windowHeight="15120" tabRatio="500" xr2:uid="{00000000-000D-0000-FFFF-FFFF00000000}"/>
  </bookViews>
  <sheets>
    <sheet name="Oct 2026" sheetId="2" r:id="rId1"/>
    <sheet name="Category Map" sheetId="3" r:id="rId2"/>
    <sheet name="Diagnosis" sheetId="4" r:id="rId3"/>
    <sheet name="Goals" sheetId="5" r:id="rId4"/>
    <sheet name="Order of Stuff to buy" sheetId="6" r:id="rId5"/>
    <sheet name="PLANNED GASTOS" sheetId="7" r:id="rId6"/>
    <sheet name="Savings Tracker" sheetId="8" r:id="rId7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8" l="1"/>
  <c r="E5" i="8"/>
  <c r="D15" i="7"/>
  <c r="A13" i="7"/>
  <c r="A12" i="7"/>
  <c r="A11" i="7"/>
  <c r="A10" i="7"/>
  <c r="A9" i="7"/>
  <c r="A8" i="7"/>
  <c r="A7" i="7"/>
  <c r="A6" i="7"/>
  <c r="A5" i="7"/>
  <c r="A4" i="7"/>
  <c r="A3" i="7"/>
  <c r="A2" i="7"/>
  <c r="E22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" i="5"/>
  <c r="B9" i="5" s="1"/>
  <c r="B10" i="5" s="1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D4" i="2"/>
  <c r="G40" i="4"/>
  <c r="H39" i="4"/>
  <c r="C39" i="4"/>
  <c r="F39" i="4" s="1"/>
  <c r="H38" i="4"/>
  <c r="C38" i="4"/>
  <c r="F38" i="4" s="1"/>
  <c r="H37" i="4"/>
  <c r="C37" i="4"/>
  <c r="F37" i="4" s="1"/>
  <c r="H36" i="4"/>
  <c r="C36" i="4"/>
  <c r="F36" i="4" s="1"/>
  <c r="H35" i="4"/>
  <c r="C35" i="4"/>
  <c r="F35" i="4" s="1"/>
  <c r="H34" i="4"/>
  <c r="C34" i="4"/>
  <c r="F34" i="4" s="1"/>
  <c r="H33" i="4"/>
  <c r="C33" i="4"/>
  <c r="F33" i="4" s="1"/>
  <c r="H32" i="4"/>
  <c r="C32" i="4"/>
  <c r="F32" i="4" s="1"/>
  <c r="H31" i="4"/>
  <c r="C31" i="4"/>
  <c r="F31" i="4" s="1"/>
  <c r="H30" i="4"/>
  <c r="C30" i="4"/>
  <c r="F30" i="4" s="1"/>
  <c r="H29" i="4"/>
  <c r="C29" i="4"/>
  <c r="F29" i="4" s="1"/>
  <c r="H28" i="4"/>
  <c r="C28" i="4"/>
  <c r="F28" i="4" s="1"/>
  <c r="H27" i="4"/>
  <c r="C27" i="4"/>
  <c r="F27" i="4" s="1"/>
  <c r="H26" i="4"/>
  <c r="C26" i="4"/>
  <c r="F26" i="4" s="1"/>
  <c r="H25" i="4"/>
  <c r="C25" i="4"/>
  <c r="F25" i="4" s="1"/>
  <c r="H24" i="4"/>
  <c r="C24" i="4"/>
  <c r="F24" i="4" s="1"/>
  <c r="H23" i="4"/>
  <c r="C23" i="4"/>
  <c r="F23" i="4" s="1"/>
  <c r="H22" i="4"/>
  <c r="C22" i="4"/>
  <c r="F22" i="4" s="1"/>
  <c r="H21" i="4"/>
  <c r="C21" i="4"/>
  <c r="F21" i="4" s="1"/>
  <c r="H20" i="4"/>
  <c r="C20" i="4"/>
  <c r="F20" i="4" s="1"/>
  <c r="H19" i="4"/>
  <c r="C19" i="4"/>
  <c r="F19" i="4" s="1"/>
  <c r="H18" i="4"/>
  <c r="C18" i="4"/>
  <c r="F18" i="4" s="1"/>
  <c r="H17" i="4"/>
  <c r="F17" i="4"/>
  <c r="C17" i="4"/>
  <c r="H16" i="4"/>
  <c r="C16" i="4"/>
  <c r="F16" i="4" s="1"/>
  <c r="H15" i="4"/>
  <c r="C15" i="4"/>
  <c r="F15" i="4" s="1"/>
  <c r="H14" i="4"/>
  <c r="C14" i="4"/>
  <c r="F14" i="4" s="1"/>
  <c r="H13" i="4"/>
  <c r="C13" i="4"/>
  <c r="F13" i="4" s="1"/>
  <c r="H12" i="4"/>
  <c r="C12" i="4"/>
  <c r="F12" i="4" s="1"/>
  <c r="H11" i="4"/>
  <c r="H40" i="4" s="1"/>
  <c r="F6" i="4" s="1"/>
  <c r="C11" i="4"/>
  <c r="C2" i="4"/>
  <c r="C40" i="4" l="1"/>
  <c r="F11" i="4"/>
  <c r="F40" i="4" s="1"/>
  <c r="F5" i="4"/>
  <c r="F7" i="4" s="1"/>
  <c r="F3" i="4"/>
  <c r="F4" i="4" l="1"/>
  <c r="C42" i="4"/>
  <c r="D42" i="4" s="1"/>
</calcChain>
</file>

<file path=xl/sharedStrings.xml><?xml version="1.0" encoding="utf-8"?>
<sst xmlns="http://schemas.openxmlformats.org/spreadsheetml/2006/main" count="347" uniqueCount="204">
  <si>
    <t>income:</t>
  </si>
  <si>
    <t>bal:</t>
  </si>
  <si>
    <t>expected:</t>
  </si>
  <si>
    <t>total of actual expenses:</t>
  </si>
  <si>
    <t>Checkbox</t>
  </si>
  <si>
    <t>Actual</t>
  </si>
  <si>
    <t>What was Paid</t>
  </si>
  <si>
    <t>Expected</t>
  </si>
  <si>
    <t>Date</t>
  </si>
  <si>
    <t>Type</t>
  </si>
  <si>
    <t>EF</t>
  </si>
  <si>
    <t>Emergency Funds</t>
  </si>
  <si>
    <t>W-Water</t>
  </si>
  <si>
    <t>NEEDS/Drinking Water</t>
  </si>
  <si>
    <t>Eggs &amp; Cream</t>
  </si>
  <si>
    <t>NEEDS/Groceries</t>
  </si>
  <si>
    <t>Delemondo + Yakult</t>
  </si>
  <si>
    <t>Brace Adj</t>
  </si>
  <si>
    <t>NEEDS/Healthcare</t>
  </si>
  <si>
    <t xml:space="preserve">Claude </t>
  </si>
  <si>
    <t>NEEDS/Membership</t>
  </si>
  <si>
    <t>Sinigang</t>
  </si>
  <si>
    <t>NEEDS/Palengke</t>
  </si>
  <si>
    <t>HeyDay (Fruits, Nutmeg, Pepper Corn)</t>
  </si>
  <si>
    <t>Oregano</t>
  </si>
  <si>
    <t>W-Sinigang Gulay</t>
  </si>
  <si>
    <t>Beef</t>
  </si>
  <si>
    <t>Potato + Onions</t>
  </si>
  <si>
    <t>Puto</t>
  </si>
  <si>
    <t>W-Pamasahe to Work</t>
  </si>
  <si>
    <t>NEEDS/TranspoWork</t>
  </si>
  <si>
    <t>W-Pamasahe from Work</t>
  </si>
  <si>
    <t>W-Pamasahe to Apt from Work</t>
  </si>
  <si>
    <t>Eggs</t>
  </si>
  <si>
    <t>WANTS/Eat Out</t>
  </si>
  <si>
    <t>W-Big Brew</t>
  </si>
  <si>
    <t>Citi Food</t>
  </si>
  <si>
    <t>Gatorade</t>
  </si>
  <si>
    <t>W-Shanghai</t>
  </si>
  <si>
    <t>W-Gata</t>
  </si>
  <si>
    <t>Turon</t>
  </si>
  <si>
    <t>Mister Donut</t>
  </si>
  <si>
    <t>Mister Donut Carbonara</t>
  </si>
  <si>
    <t>Starbucks Pumpkin Spice</t>
  </si>
  <si>
    <t>W-Binatog</t>
  </si>
  <si>
    <t>C2</t>
  </si>
  <si>
    <t>W-Tinapay</t>
  </si>
  <si>
    <t>W-Ice Cream</t>
  </si>
  <si>
    <t>W-Turon</t>
  </si>
  <si>
    <t>W-Choco Drink</t>
  </si>
  <si>
    <t>Jolibee</t>
  </si>
  <si>
    <t>Somu Niku</t>
  </si>
  <si>
    <t>Bar Halloween</t>
  </si>
  <si>
    <t>WANTS/Entertainment</t>
  </si>
  <si>
    <t>W-Photoline</t>
  </si>
  <si>
    <t>Carpet</t>
  </si>
  <si>
    <t>WANTS/House Improvement</t>
  </si>
  <si>
    <t>Plastic Tupperware</t>
  </si>
  <si>
    <t>Scoth Tape</t>
  </si>
  <si>
    <t>WiFi Installation</t>
  </si>
  <si>
    <t>Windows Seal</t>
  </si>
  <si>
    <t>Door Seal</t>
  </si>
  <si>
    <t>Suction Hook</t>
  </si>
  <si>
    <t>Vacuum</t>
  </si>
  <si>
    <t>Biya Liquid Eyebrow</t>
  </si>
  <si>
    <t>WANTS/Shopping</t>
  </si>
  <si>
    <t>Wig</t>
  </si>
  <si>
    <t>W-Mango</t>
  </si>
  <si>
    <t>W-Trans to Ayala</t>
  </si>
  <si>
    <t>WANTS/TranspoPersonal</t>
  </si>
  <si>
    <t>W-Trans to Alabang</t>
  </si>
  <si>
    <t>W-Jeep to Pasay</t>
  </si>
  <si>
    <t>W-Jeep to VTX</t>
  </si>
  <si>
    <t>Moveit to Home</t>
  </si>
  <si>
    <t>W-Pamasahe to SB</t>
  </si>
  <si>
    <t>W-Pamasahe to Apt</t>
  </si>
  <si>
    <t>CATEGORY MAP — links each Diagnosis line to its matching category in the raw log</t>
  </si>
  <si>
    <t>Diagnosis Label</t>
  </si>
  <si>
    <t>Matching Raw-Log Category (Type)</t>
  </si>
  <si>
    <t>Note</t>
  </si>
  <si>
    <t>Housing: Rent / Mortgage</t>
  </si>
  <si>
    <t>NEEDS/HousingRent</t>
  </si>
  <si>
    <t>Kuryente</t>
  </si>
  <si>
    <t>NEEDS/Electric</t>
  </si>
  <si>
    <t xml:space="preserve">Tubig </t>
  </si>
  <si>
    <t>NEEDS/Water</t>
  </si>
  <si>
    <t>Internet</t>
  </si>
  <si>
    <t>NEEDS/Internet</t>
  </si>
  <si>
    <t>Drinking water</t>
  </si>
  <si>
    <t>Groceries</t>
  </si>
  <si>
    <t>Palengke</t>
  </si>
  <si>
    <t>Transportation to Work</t>
  </si>
  <si>
    <t>Healthcare</t>
  </si>
  <si>
    <t>Education</t>
  </si>
  <si>
    <t>NEEDS/Education</t>
  </si>
  <si>
    <t xml:space="preserve">Communication: Prepaid </t>
  </si>
  <si>
    <t>NEEDS/Communication</t>
  </si>
  <si>
    <t>Clothing</t>
  </si>
  <si>
    <t>NEEDS/Clothing</t>
  </si>
  <si>
    <t>Debt Payment</t>
  </si>
  <si>
    <t>NEEDS/Debt</t>
  </si>
  <si>
    <t>Entertainment</t>
  </si>
  <si>
    <t>Special Occasions</t>
  </si>
  <si>
    <t>WANTS/Special Occasions</t>
  </si>
  <si>
    <t>Government Contributions</t>
  </si>
  <si>
    <t>NEEDS/Government</t>
  </si>
  <si>
    <t>Emergency Fund</t>
  </si>
  <si>
    <t>Log uses 'Emergency Funds' (no Needs/Wants prefix) — mapped as-is</t>
  </si>
  <si>
    <t>Netflix Subscription</t>
  </si>
  <si>
    <t>WANTS/Netflix</t>
  </si>
  <si>
    <t>Youtube Premium</t>
  </si>
  <si>
    <t>WANTS/Youtube</t>
  </si>
  <si>
    <t>subcription icloud</t>
  </si>
  <si>
    <t>WANTS/iCloud</t>
  </si>
  <si>
    <t>Apple Music</t>
  </si>
  <si>
    <t>WANTS/Apple Music</t>
  </si>
  <si>
    <t>disney</t>
  </si>
  <si>
    <t>WANTS/Disney</t>
  </si>
  <si>
    <t>Dine out</t>
  </si>
  <si>
    <t>Diagnosis said 'Dine out', the log calls it 'Eat Out' — mapped across the naming mismatch</t>
  </si>
  <si>
    <t>Loan</t>
  </si>
  <si>
    <t>NEEDS/Loan</t>
  </si>
  <si>
    <t>Internet Install</t>
  </si>
  <si>
    <t>NEEDS/Internet Install</t>
  </si>
  <si>
    <t>The log's Oct WiFi install fee was tagged House Improvement instead — see that line</t>
  </si>
  <si>
    <t>House Improvement (Wants)</t>
  </si>
  <si>
    <t>NEW — found in the log, had no Diagnosis line before</t>
  </si>
  <si>
    <t>Shopping (Wants)</t>
  </si>
  <si>
    <t>Transportation (Personal, Wants)</t>
  </si>
  <si>
    <t>Membership / Software Subscriptions</t>
  </si>
  <si>
    <t>Monthly Income (Malinis na)</t>
  </si>
  <si>
    <t>DIAGNOSIS</t>
  </si>
  <si>
    <t>Suweldo (First cut off)</t>
  </si>
  <si>
    <t>Total Monthly Income</t>
  </si>
  <si>
    <t>Suweldo (Second cut off)</t>
  </si>
  <si>
    <t>Current Monthly Spend</t>
  </si>
  <si>
    <t>Suweldo (Third cut off)</t>
  </si>
  <si>
    <t>Available Cash to Spend</t>
  </si>
  <si>
    <t>Suweldo (Fourth cut off)</t>
  </si>
  <si>
    <t>Potential Savings from Cuts</t>
  </si>
  <si>
    <t>Extra Income (Fixed or Average)</t>
  </si>
  <si>
    <t>UPDATED: Available cash to spend</t>
  </si>
  <si>
    <t>after adjusting your expenses</t>
  </si>
  <si>
    <t>Expenses</t>
  </si>
  <si>
    <t>Current Amount</t>
  </si>
  <si>
    <t>Fixed or Variable</t>
  </si>
  <si>
    <t>Need or Want</t>
  </si>
  <si>
    <t>% Income</t>
  </si>
  <si>
    <t>New Monthly Budget</t>
  </si>
  <si>
    <t>Monthly Amount Freed</t>
  </si>
  <si>
    <t>Fixed</t>
  </si>
  <si>
    <t>Need</t>
  </si>
  <si>
    <t>Variable</t>
  </si>
  <si>
    <t>Want</t>
  </si>
  <si>
    <t>Total</t>
  </si>
  <si>
    <t>Reconciliation check:</t>
  </si>
  <si>
    <t>YOUR SAVINGS GOAL</t>
  </si>
  <si>
    <t>Savings goal amount</t>
  </si>
  <si>
    <t>Already saved toward this goal</t>
  </si>
  <si>
    <t>SAVINGS GAP</t>
  </si>
  <si>
    <t>Target date</t>
  </si>
  <si>
    <t>sept 30</t>
  </si>
  <si>
    <t>No. of cutoff until target</t>
  </si>
  <si>
    <t>Sweldo days per month</t>
  </si>
  <si>
    <t>SAVINGS NEEDED PER SWELDO DAY</t>
  </si>
  <si>
    <t>Monthly savings pace</t>
  </si>
  <si>
    <t>#</t>
  </si>
  <si>
    <t>Confirmed?</t>
  </si>
  <si>
    <t>Plan/Things to Avail this 2026</t>
  </si>
  <si>
    <t>Estimated Price</t>
  </si>
  <si>
    <t>Assuming Date</t>
  </si>
  <si>
    <t>TAC-09CWI/UB2 Aircon (TLC)</t>
  </si>
  <si>
    <t>Smart 5G Max Home WiFi</t>
  </si>
  <si>
    <t>Teeth Opera</t>
  </si>
  <si>
    <t>Steel Cabinet</t>
  </si>
  <si>
    <t>Sony Camera</t>
  </si>
  <si>
    <t>Hodekt Mini Washing Machine</t>
  </si>
  <si>
    <t>Shark Hydrovac Vacuum</t>
  </si>
  <si>
    <t>Carpet/Rugs</t>
  </si>
  <si>
    <t>Sofa</t>
  </si>
  <si>
    <t>Bedframe</t>
  </si>
  <si>
    <t>Trip to Cebu</t>
  </si>
  <si>
    <t>Trip to Vietnam</t>
  </si>
  <si>
    <t>TOTAL:</t>
  </si>
  <si>
    <t>Fixed: was =SUMIF(F2:F21,"&gt;0") which summed the DATE column by coincidence.</t>
  </si>
  <si>
    <t>savings</t>
  </si>
  <si>
    <t>Foods</t>
  </si>
  <si>
    <t>Brace</t>
  </si>
  <si>
    <t>Apt Rent</t>
  </si>
  <si>
    <t>Electric Bill</t>
  </si>
  <si>
    <t>Wi-Fi Bill</t>
  </si>
  <si>
    <t>Transpo to Work</t>
  </si>
  <si>
    <t>Water Bill</t>
  </si>
  <si>
    <t>Gym</t>
  </si>
  <si>
    <t>icloud</t>
  </si>
  <si>
    <t>apple music</t>
  </si>
  <si>
    <t>Total Planned:</t>
  </si>
  <si>
    <t>Removed: a disconnected pivot-table remnant that showed a hardcoded 0.</t>
  </si>
  <si>
    <t>Savings Tracker</t>
  </si>
  <si>
    <t>Emergency Funds Tracker</t>
  </si>
  <si>
    <t>EMERGENCY FUNDS</t>
  </si>
  <si>
    <t>Amount</t>
  </si>
  <si>
    <t>From</t>
  </si>
  <si>
    <t xml:space="preserve">Due: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</si>
</sst>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1"/>
      <color rgb="FF1F2A4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1F2A44"/>
      <name val="Arial"/>
      <charset val="1"/>
    </font>
    <font>
      <b/>
      <sz val="9"/>
      <color rgb="FFFFFFFF"/>
      <name val="Arial"/>
      <charset val="1"/>
    </font>
    <font>
      <i/>
      <sz val="9"/>
      <name val="Arial"/>
      <charset val="1"/>
    </font>
    <font>
      <b/>
      <sz val="12"/>
      <color rgb="FF1F2A44"/>
      <name val="Arial"/>
      <charset val="1"/>
    </font>
    <font>
      <i/>
      <sz val="8"/>
      <color rgb="FF9C0006"/>
      <name val="Arial"/>
      <charset val="1"/>
    </font>
    <font>
      <i/>
      <sz val="8"/>
      <color rgb="FF666666"/>
      <name val="Arial"/>
      <charset val="1"/>
    </font>
    <font>
      <b/>
      <sz val="14"/>
      <color rgb="FF1F2A4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  <fill>
      <patternFill patternType="solid">
        <fgColor rgb="FFFFF9E5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4" fontId="3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4" fontId="5" fillId="3" borderId="1" xfId="0" applyNumberFormat="1" applyFont="1" applyFill="1" applyBorder="1"/>
    <xf numFmtId="0" fontId="5" fillId="3" borderId="1" xfId="0" applyFont="1" applyFill="1" applyBorder="1"/>
    <xf numFmtId="4" fontId="0" fillId="0" borderId="1" xfId="0" applyNumberFormat="1" applyBorder="1"/>
    <xf numFmtId="164" fontId="0" fillId="0" borderId="1" xfId="0" applyNumberFormat="1" applyBorder="1"/>
    <xf numFmtId="0" fontId="7" fillId="0" borderId="1" xfId="0" applyFont="1" applyBorder="1" applyAlignment="1">
      <alignment wrapText="1"/>
    </xf>
    <xf numFmtId="4" fontId="0" fillId="0" borderId="0" xfId="0" applyNumberFormat="1"/>
    <xf numFmtId="4" fontId="5" fillId="3" borderId="0" xfId="0" applyNumberFormat="1" applyFont="1" applyFill="1"/>
    <xf numFmtId="4" fontId="8" fillId="0" borderId="0" xfId="0" applyNumberFormat="1" applyFont="1"/>
    <xf numFmtId="0" fontId="7" fillId="0" borderId="0" xfId="0" applyFont="1"/>
    <xf numFmtId="0" fontId="9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5" fontId="2" fillId="0" borderId="1" xfId="0" applyNumberFormat="1" applyFont="1" applyBorder="1"/>
    <xf numFmtId="0" fontId="8" fillId="0" borderId="0" xfId="0" applyFont="1"/>
    <xf numFmtId="0" fontId="11" fillId="0" borderId="0" xfId="0" applyFont="1"/>
    <xf numFmtId="4" fontId="2" fillId="0" borderId="0" xfId="0" applyNumberFormat="1" applyFont="1"/>
    <xf numFmtId="0" fontId="5" fillId="3" borderId="0" xfId="0" applyFont="1" applyFill="1"/>
    <xf numFmtId="1" fontId="5" fillId="3" borderId="0" xfId="0" applyNumberFormat="1" applyFont="1" applyFill="1"/>
    <xf numFmtId="164" fontId="0" fillId="0" borderId="0" xfId="0" applyNumberForma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9" fontId="0" fillId="0" borderId="0" xfId="0" applyNumberFormat="1"/>
    <xf numFmtId="0" fontId="6" fillId="2" borderId="0" xfId="0" applyFont="1" applyFill="1" applyAlignment="1">
      <alignment horizontal="left" vertical="center" inden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2A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showGridLines="0" tabSelected="1" topLeftCell="A40" zoomScaleNormal="100" workbookViewId="0">
      <selection activeCell="A8" sqref="A8:A67"/>
    </sheetView>
  </sheetViews>
  <sheetFormatPr defaultColWidth="8.7109375" defaultRowHeight="15" x14ac:dyDescent="0.25"/>
  <cols>
    <col min="1" max="2" width="10" customWidth="1"/>
    <col min="3" max="3" width="28" customWidth="1"/>
    <col min="4" max="4" width="10" customWidth="1"/>
    <col min="5" max="5" width="12" customWidth="1"/>
    <col min="6" max="6" width="20" customWidth="1"/>
  </cols>
  <sheetData>
    <row r="1" spans="1:6" x14ac:dyDescent="0.25">
      <c r="C1" s="1" t="s">
        <v>0</v>
      </c>
      <c r="D1" s="2">
        <v>15609.62</v>
      </c>
    </row>
    <row r="2" spans="1:6" x14ac:dyDescent="0.25">
      <c r="C2" s="1" t="s">
        <v>1</v>
      </c>
      <c r="D2" s="3">
        <v>214.14</v>
      </c>
    </row>
    <row r="3" spans="1:6" x14ac:dyDescent="0.25">
      <c r="C3" s="1" t="s">
        <v>2</v>
      </c>
      <c r="D3" s="3">
        <v>8500</v>
      </c>
    </row>
    <row r="4" spans="1:6" x14ac:dyDescent="0.25">
      <c r="C4" s="1" t="s">
        <v>3</v>
      </c>
      <c r="D4" s="2">
        <f>SUM(B8:B67)</f>
        <v>15395.479999999998</v>
      </c>
    </row>
    <row r="7" spans="1:6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 x14ac:dyDescent="0.25">
      <c r="A8" s="5" t="b">
        <f>TRUE()</f>
        <v>1</v>
      </c>
      <c r="B8" s="6">
        <v>5000</v>
      </c>
      <c r="C8" s="7" t="s">
        <v>10</v>
      </c>
      <c r="D8" s="8">
        <v>5000</v>
      </c>
      <c r="E8" s="9">
        <v>46300</v>
      </c>
      <c r="F8" s="7" t="s">
        <v>11</v>
      </c>
    </row>
    <row r="9" spans="1:6" x14ac:dyDescent="0.25">
      <c r="A9" s="5" t="b">
        <f>TRUE()</f>
        <v>1</v>
      </c>
      <c r="B9" s="6">
        <v>40</v>
      </c>
      <c r="C9" s="7" t="s">
        <v>12</v>
      </c>
      <c r="D9" s="5"/>
      <c r="E9" s="9">
        <v>46306</v>
      </c>
      <c r="F9" s="7" t="s">
        <v>13</v>
      </c>
    </row>
    <row r="10" spans="1:6" x14ac:dyDescent="0.25">
      <c r="A10" s="5" t="b">
        <f>TRUE()</f>
        <v>1</v>
      </c>
      <c r="B10" s="6">
        <v>196</v>
      </c>
      <c r="C10" s="7" t="s">
        <v>14</v>
      </c>
      <c r="D10" s="5"/>
      <c r="E10" s="9">
        <v>46300</v>
      </c>
      <c r="F10" s="7" t="s">
        <v>15</v>
      </c>
    </row>
    <row r="11" spans="1:6" x14ac:dyDescent="0.25">
      <c r="A11" s="5" t="b">
        <f>TRUE()</f>
        <v>1</v>
      </c>
      <c r="B11" s="6">
        <v>233.5</v>
      </c>
      <c r="C11" s="7" t="s">
        <v>16</v>
      </c>
      <c r="D11" s="5"/>
      <c r="E11" s="9">
        <v>46300</v>
      </c>
      <c r="F11" s="7" t="s">
        <v>15</v>
      </c>
    </row>
    <row r="12" spans="1:6" x14ac:dyDescent="0.25">
      <c r="A12" s="5" t="b">
        <f>TRUE()</f>
        <v>1</v>
      </c>
      <c r="B12" s="6">
        <v>1000</v>
      </c>
      <c r="C12" s="7" t="s">
        <v>17</v>
      </c>
      <c r="D12" s="8">
        <v>1000</v>
      </c>
      <c r="E12" s="9">
        <v>46300</v>
      </c>
      <c r="F12" s="7" t="s">
        <v>18</v>
      </c>
    </row>
    <row r="13" spans="1:6" x14ac:dyDescent="0.25">
      <c r="A13" s="5" t="b">
        <f>TRUE()</f>
        <v>1</v>
      </c>
      <c r="B13" s="6">
        <v>714.78</v>
      </c>
      <c r="C13" s="7" t="s">
        <v>19</v>
      </c>
      <c r="D13" s="5"/>
      <c r="E13" s="9">
        <v>46302</v>
      </c>
      <c r="F13" s="7" t="s">
        <v>20</v>
      </c>
    </row>
    <row r="14" spans="1:6" x14ac:dyDescent="0.25">
      <c r="A14" s="5" t="b">
        <f>TRUE()</f>
        <v>1</v>
      </c>
      <c r="B14" s="6">
        <v>385.87</v>
      </c>
      <c r="C14" s="7" t="s">
        <v>21</v>
      </c>
      <c r="D14" s="5"/>
      <c r="E14" s="9">
        <v>46303</v>
      </c>
      <c r="F14" s="7" t="s">
        <v>22</v>
      </c>
    </row>
    <row r="15" spans="1:6" x14ac:dyDescent="0.25">
      <c r="A15" s="5" t="b">
        <f>TRUE()</f>
        <v>1</v>
      </c>
      <c r="B15" s="6">
        <v>203.73</v>
      </c>
      <c r="C15" s="7" t="s">
        <v>23</v>
      </c>
      <c r="D15" s="5"/>
      <c r="E15" s="9">
        <v>46304</v>
      </c>
      <c r="F15" s="7" t="s">
        <v>22</v>
      </c>
    </row>
    <row r="16" spans="1:6" x14ac:dyDescent="0.25">
      <c r="A16" s="5" t="b">
        <f>TRUE()</f>
        <v>1</v>
      </c>
      <c r="B16" s="6">
        <v>48.2</v>
      </c>
      <c r="C16" s="7" t="s">
        <v>24</v>
      </c>
      <c r="D16" s="5"/>
      <c r="E16" s="9">
        <v>46304</v>
      </c>
      <c r="F16" s="7" t="s">
        <v>22</v>
      </c>
    </row>
    <row r="17" spans="1:6" x14ac:dyDescent="0.25">
      <c r="A17" s="5" t="b">
        <f>TRUE()</f>
        <v>1</v>
      </c>
      <c r="B17" s="6">
        <v>145</v>
      </c>
      <c r="C17" s="7" t="s">
        <v>25</v>
      </c>
      <c r="D17" s="5"/>
      <c r="E17" s="9">
        <v>46304</v>
      </c>
      <c r="F17" s="7" t="s">
        <v>22</v>
      </c>
    </row>
    <row r="18" spans="1:6" x14ac:dyDescent="0.25">
      <c r="A18" s="5" t="b">
        <f>TRUE()</f>
        <v>1</v>
      </c>
      <c r="B18" s="6">
        <v>25</v>
      </c>
      <c r="C18" s="7" t="s">
        <v>25</v>
      </c>
      <c r="D18" s="5"/>
      <c r="E18" s="9">
        <v>46304</v>
      </c>
      <c r="F18" s="7" t="s">
        <v>22</v>
      </c>
    </row>
    <row r="19" spans="1:6" x14ac:dyDescent="0.25">
      <c r="A19" s="5" t="b">
        <f>TRUE()</f>
        <v>1</v>
      </c>
      <c r="B19" s="6">
        <v>220</v>
      </c>
      <c r="C19" s="7" t="s">
        <v>26</v>
      </c>
      <c r="D19" s="5"/>
      <c r="E19" s="9">
        <v>46306</v>
      </c>
      <c r="F19" s="7" t="s">
        <v>22</v>
      </c>
    </row>
    <row r="20" spans="1:6" x14ac:dyDescent="0.25">
      <c r="A20" s="5" t="b">
        <f>TRUE()</f>
        <v>1</v>
      </c>
      <c r="B20" s="6">
        <v>40</v>
      </c>
      <c r="C20" s="7" t="s">
        <v>27</v>
      </c>
      <c r="D20" s="5"/>
      <c r="E20" s="9">
        <v>46306</v>
      </c>
      <c r="F20" s="7" t="s">
        <v>22</v>
      </c>
    </row>
    <row r="21" spans="1:6" x14ac:dyDescent="0.25">
      <c r="A21" s="5" t="b">
        <f>TRUE()</f>
        <v>1</v>
      </c>
      <c r="B21" s="6">
        <v>38</v>
      </c>
      <c r="C21" s="7" t="s">
        <v>27</v>
      </c>
      <c r="D21" s="5"/>
      <c r="E21" s="9">
        <v>46307</v>
      </c>
      <c r="F21" s="7" t="s">
        <v>22</v>
      </c>
    </row>
    <row r="22" spans="1:6" x14ac:dyDescent="0.25">
      <c r="A22" s="5" t="b">
        <f>TRUE()</f>
        <v>1</v>
      </c>
      <c r="B22" s="6">
        <v>100</v>
      </c>
      <c r="C22" s="7" t="s">
        <v>28</v>
      </c>
      <c r="D22" s="5"/>
      <c r="E22" s="9">
        <v>46307</v>
      </c>
      <c r="F22" s="7" t="s">
        <v>22</v>
      </c>
    </row>
    <row r="23" spans="1:6" x14ac:dyDescent="0.25">
      <c r="A23" s="5" t="b">
        <f>TRUE()</f>
        <v>1</v>
      </c>
      <c r="B23" s="6">
        <v>40</v>
      </c>
      <c r="C23" s="7" t="s">
        <v>29</v>
      </c>
      <c r="D23" s="5"/>
      <c r="E23" s="9">
        <v>46304</v>
      </c>
      <c r="F23" s="7" t="s">
        <v>30</v>
      </c>
    </row>
    <row r="24" spans="1:6" x14ac:dyDescent="0.25">
      <c r="A24" s="5" t="b">
        <f>TRUE()</f>
        <v>1</v>
      </c>
      <c r="B24" s="6">
        <v>40</v>
      </c>
      <c r="C24" s="7" t="s">
        <v>31</v>
      </c>
      <c r="D24" s="5"/>
      <c r="E24" s="9">
        <v>46305</v>
      </c>
      <c r="F24" s="7" t="s">
        <v>30</v>
      </c>
    </row>
    <row r="25" spans="1:6" x14ac:dyDescent="0.25">
      <c r="A25" s="5" t="b">
        <f>TRUE()</f>
        <v>1</v>
      </c>
      <c r="B25" s="6">
        <v>26</v>
      </c>
      <c r="C25" s="7" t="s">
        <v>32</v>
      </c>
      <c r="D25" s="5"/>
      <c r="E25" s="9">
        <v>46305</v>
      </c>
      <c r="F25" s="7" t="s">
        <v>30</v>
      </c>
    </row>
    <row r="26" spans="1:6" x14ac:dyDescent="0.25">
      <c r="A26" s="5" t="b">
        <f>TRUE()</f>
        <v>1</v>
      </c>
      <c r="B26" s="6">
        <v>15</v>
      </c>
      <c r="C26" s="7" t="s">
        <v>33</v>
      </c>
      <c r="D26" s="5"/>
      <c r="E26" s="9">
        <v>46300</v>
      </c>
      <c r="F26" s="7" t="s">
        <v>34</v>
      </c>
    </row>
    <row r="27" spans="1:6" x14ac:dyDescent="0.25">
      <c r="A27" s="5" t="b">
        <f>TRUE()</f>
        <v>1</v>
      </c>
      <c r="B27" s="6">
        <v>38</v>
      </c>
      <c r="C27" s="7" t="s">
        <v>35</v>
      </c>
      <c r="D27" s="5"/>
      <c r="E27" s="9">
        <v>46301</v>
      </c>
      <c r="F27" s="7" t="s">
        <v>34</v>
      </c>
    </row>
    <row r="28" spans="1:6" x14ac:dyDescent="0.25">
      <c r="A28" s="5" t="b">
        <f>TRUE()</f>
        <v>1</v>
      </c>
      <c r="B28" s="6">
        <v>95</v>
      </c>
      <c r="C28" s="7" t="s">
        <v>36</v>
      </c>
      <c r="D28" s="5"/>
      <c r="E28" s="9">
        <v>46301</v>
      </c>
      <c r="F28" s="7" t="s">
        <v>34</v>
      </c>
    </row>
    <row r="29" spans="1:6" x14ac:dyDescent="0.25">
      <c r="A29" s="5" t="b">
        <f>TRUE()</f>
        <v>1</v>
      </c>
      <c r="B29" s="6">
        <v>63</v>
      </c>
      <c r="C29" s="7" t="s">
        <v>37</v>
      </c>
      <c r="D29" s="5"/>
      <c r="E29" s="9">
        <v>46302</v>
      </c>
      <c r="F29" s="7" t="s">
        <v>34</v>
      </c>
    </row>
    <row r="30" spans="1:6" x14ac:dyDescent="0.25">
      <c r="A30" s="5" t="b">
        <f>TRUE()</f>
        <v>1</v>
      </c>
      <c r="B30" s="6">
        <v>74</v>
      </c>
      <c r="C30" s="7" t="s">
        <v>38</v>
      </c>
      <c r="D30" s="5"/>
      <c r="E30" s="9">
        <v>46302</v>
      </c>
      <c r="F30" s="7" t="s">
        <v>34</v>
      </c>
    </row>
    <row r="31" spans="1:6" x14ac:dyDescent="0.25">
      <c r="A31" s="5" t="b">
        <f>TRUE()</f>
        <v>1</v>
      </c>
      <c r="B31" s="6">
        <v>189</v>
      </c>
      <c r="C31" s="7" t="s">
        <v>39</v>
      </c>
      <c r="D31" s="5"/>
      <c r="E31" s="9">
        <v>46302</v>
      </c>
      <c r="F31" s="7" t="s">
        <v>34</v>
      </c>
    </row>
    <row r="32" spans="1:6" x14ac:dyDescent="0.25">
      <c r="A32" s="5" t="b">
        <f>TRUE()</f>
        <v>1</v>
      </c>
      <c r="B32" s="6">
        <v>30</v>
      </c>
      <c r="C32" s="7" t="s">
        <v>40</v>
      </c>
      <c r="D32" s="5"/>
      <c r="E32" s="9">
        <v>46302</v>
      </c>
      <c r="F32" s="7" t="s">
        <v>34</v>
      </c>
    </row>
    <row r="33" spans="1:6" x14ac:dyDescent="0.25">
      <c r="A33" s="5" t="b">
        <f>TRUE()</f>
        <v>1</v>
      </c>
      <c r="B33" s="6">
        <v>290</v>
      </c>
      <c r="C33" s="7" t="s">
        <v>41</v>
      </c>
      <c r="D33" s="5"/>
      <c r="E33" s="9">
        <v>46302</v>
      </c>
      <c r="F33" s="7" t="s">
        <v>34</v>
      </c>
    </row>
    <row r="34" spans="1:6" x14ac:dyDescent="0.25">
      <c r="A34" s="5" t="b">
        <f>TRUE()</f>
        <v>1</v>
      </c>
      <c r="B34" s="6">
        <v>100</v>
      </c>
      <c r="C34" s="7" t="s">
        <v>42</v>
      </c>
      <c r="D34" s="5"/>
      <c r="E34" s="9">
        <v>46302</v>
      </c>
      <c r="F34" s="7" t="s">
        <v>34</v>
      </c>
    </row>
    <row r="35" spans="1:6" x14ac:dyDescent="0.25">
      <c r="A35" s="5" t="b">
        <f>TRUE()</f>
        <v>1</v>
      </c>
      <c r="B35" s="6">
        <v>215</v>
      </c>
      <c r="C35" s="7" t="s">
        <v>43</v>
      </c>
      <c r="D35" s="5"/>
      <c r="E35" s="9">
        <v>46302</v>
      </c>
      <c r="F35" s="7" t="s">
        <v>34</v>
      </c>
    </row>
    <row r="36" spans="1:6" x14ac:dyDescent="0.25">
      <c r="A36" s="5" t="b">
        <f>TRUE()</f>
        <v>1</v>
      </c>
      <c r="B36" s="6">
        <v>40</v>
      </c>
      <c r="C36" s="7" t="s">
        <v>44</v>
      </c>
      <c r="D36" s="5"/>
      <c r="E36" s="9">
        <v>46304</v>
      </c>
      <c r="F36" s="7" t="s">
        <v>34</v>
      </c>
    </row>
    <row r="37" spans="1:6" x14ac:dyDescent="0.25">
      <c r="A37" s="5" t="b">
        <f>TRUE()</f>
        <v>1</v>
      </c>
      <c r="B37" s="6">
        <v>85</v>
      </c>
      <c r="C37" s="7" t="s">
        <v>36</v>
      </c>
      <c r="D37" s="5"/>
      <c r="E37" s="9">
        <v>46305</v>
      </c>
      <c r="F37" s="7" t="s">
        <v>34</v>
      </c>
    </row>
    <row r="38" spans="1:6" x14ac:dyDescent="0.25">
      <c r="A38" s="5" t="b">
        <f>TRUE()</f>
        <v>1</v>
      </c>
      <c r="B38" s="6">
        <v>5</v>
      </c>
      <c r="C38" s="7" t="s">
        <v>36</v>
      </c>
      <c r="D38" s="5"/>
      <c r="E38" s="9">
        <v>46305</v>
      </c>
      <c r="F38" s="7" t="s">
        <v>34</v>
      </c>
    </row>
    <row r="39" spans="1:6" x14ac:dyDescent="0.25">
      <c r="A39" s="5" t="b">
        <f>TRUE()</f>
        <v>1</v>
      </c>
      <c r="B39" s="6">
        <v>16</v>
      </c>
      <c r="C39" s="7" t="s">
        <v>45</v>
      </c>
      <c r="D39" s="5"/>
      <c r="E39" s="9">
        <v>46305</v>
      </c>
      <c r="F39" s="7" t="s">
        <v>34</v>
      </c>
    </row>
    <row r="40" spans="1:6" x14ac:dyDescent="0.25">
      <c r="A40" s="5" t="b">
        <f>TRUE()</f>
        <v>1</v>
      </c>
      <c r="B40" s="6">
        <v>17</v>
      </c>
      <c r="C40" s="7" t="s">
        <v>46</v>
      </c>
      <c r="D40" s="5"/>
      <c r="E40" s="9">
        <v>46305</v>
      </c>
      <c r="F40" s="7" t="s">
        <v>34</v>
      </c>
    </row>
    <row r="41" spans="1:6" x14ac:dyDescent="0.25">
      <c r="A41" s="5" t="b">
        <f>TRUE()</f>
        <v>1</v>
      </c>
      <c r="B41" s="6">
        <v>99</v>
      </c>
      <c r="C41" s="7" t="s">
        <v>47</v>
      </c>
      <c r="D41" s="5"/>
      <c r="E41" s="9">
        <v>46305</v>
      </c>
      <c r="F41" s="7" t="s">
        <v>34</v>
      </c>
    </row>
    <row r="42" spans="1:6" x14ac:dyDescent="0.25">
      <c r="A42" s="5" t="b">
        <f>TRUE()</f>
        <v>1</v>
      </c>
      <c r="B42" s="6">
        <v>10</v>
      </c>
      <c r="C42" s="7" t="s">
        <v>48</v>
      </c>
      <c r="D42" s="5"/>
      <c r="E42" s="9">
        <v>46306</v>
      </c>
      <c r="F42" s="7" t="s">
        <v>34</v>
      </c>
    </row>
    <row r="43" spans="1:6" x14ac:dyDescent="0.25">
      <c r="A43" s="5" t="b">
        <f>TRUE()</f>
        <v>1</v>
      </c>
      <c r="B43" s="6">
        <v>5</v>
      </c>
      <c r="C43" s="7" t="s">
        <v>49</v>
      </c>
      <c r="D43" s="5"/>
      <c r="E43" s="9">
        <v>46306</v>
      </c>
      <c r="F43" s="7" t="s">
        <v>34</v>
      </c>
    </row>
    <row r="44" spans="1:6" x14ac:dyDescent="0.25">
      <c r="A44" s="5" t="b">
        <f>TRUE()</f>
        <v>1</v>
      </c>
      <c r="B44" s="6">
        <v>172</v>
      </c>
      <c r="C44" s="7" t="s">
        <v>50</v>
      </c>
      <c r="D44" s="5"/>
      <c r="E44" s="9">
        <v>46307</v>
      </c>
      <c r="F44" s="7" t="s">
        <v>34</v>
      </c>
    </row>
    <row r="45" spans="1:6" x14ac:dyDescent="0.25">
      <c r="A45" s="5" t="b">
        <f>TRUE()</f>
        <v>1</v>
      </c>
      <c r="B45" s="6">
        <v>17</v>
      </c>
      <c r="C45" s="7" t="s">
        <v>28</v>
      </c>
      <c r="D45" s="5"/>
      <c r="E45" s="9">
        <v>46307</v>
      </c>
      <c r="F45" s="7" t="s">
        <v>34</v>
      </c>
    </row>
    <row r="46" spans="1:6" x14ac:dyDescent="0.25">
      <c r="A46" s="5" t="b">
        <f>TRUE()</f>
        <v>1</v>
      </c>
      <c r="B46" s="6">
        <v>669</v>
      </c>
      <c r="C46" s="7" t="s">
        <v>51</v>
      </c>
      <c r="D46" s="5"/>
      <c r="E46" s="9">
        <v>46300</v>
      </c>
      <c r="F46" s="7" t="s">
        <v>34</v>
      </c>
    </row>
    <row r="47" spans="1:6" x14ac:dyDescent="0.25">
      <c r="A47" s="5" t="b">
        <f>TRUE()</f>
        <v>1</v>
      </c>
      <c r="B47" s="6">
        <v>850</v>
      </c>
      <c r="C47" s="7" t="s">
        <v>52</v>
      </c>
      <c r="D47" s="5"/>
      <c r="E47" s="9">
        <v>46303</v>
      </c>
      <c r="F47" s="7" t="s">
        <v>53</v>
      </c>
    </row>
    <row r="48" spans="1:6" x14ac:dyDescent="0.25">
      <c r="A48" s="5" t="b">
        <f>TRUE()</f>
        <v>1</v>
      </c>
      <c r="B48" s="6">
        <v>120</v>
      </c>
      <c r="C48" s="7" t="s">
        <v>54</v>
      </c>
      <c r="D48" s="5"/>
      <c r="E48" s="9">
        <v>46304</v>
      </c>
      <c r="F48" s="7" t="s">
        <v>53</v>
      </c>
    </row>
    <row r="49" spans="1:6" x14ac:dyDescent="0.25">
      <c r="A49" s="5" t="b">
        <f>TRUE()</f>
        <v>1</v>
      </c>
      <c r="B49" s="6">
        <v>175</v>
      </c>
      <c r="C49" s="7" t="s">
        <v>55</v>
      </c>
      <c r="D49" s="5"/>
      <c r="E49" s="9">
        <v>46304</v>
      </c>
      <c r="F49" s="7" t="s">
        <v>56</v>
      </c>
    </row>
    <row r="50" spans="1:6" x14ac:dyDescent="0.25">
      <c r="A50" s="5" t="b">
        <f>TRUE()</f>
        <v>1</v>
      </c>
      <c r="B50" s="6">
        <v>35</v>
      </c>
      <c r="C50" s="7" t="s">
        <v>57</v>
      </c>
      <c r="D50" s="5"/>
      <c r="E50" s="9">
        <v>46300</v>
      </c>
      <c r="F50" s="7" t="s">
        <v>56</v>
      </c>
    </row>
    <row r="51" spans="1:6" x14ac:dyDescent="0.25">
      <c r="A51" s="5" t="b">
        <f>TRUE()</f>
        <v>1</v>
      </c>
      <c r="B51" s="6">
        <v>47</v>
      </c>
      <c r="C51" s="7" t="s">
        <v>58</v>
      </c>
      <c r="D51" s="5"/>
      <c r="E51" s="9">
        <v>46300</v>
      </c>
      <c r="F51" s="7" t="s">
        <v>56</v>
      </c>
    </row>
    <row r="52" spans="1:6" x14ac:dyDescent="0.25">
      <c r="A52" s="5" t="b">
        <f>TRUE()</f>
        <v>1</v>
      </c>
      <c r="B52" s="6">
        <v>2400</v>
      </c>
      <c r="C52" s="7" t="s">
        <v>59</v>
      </c>
      <c r="D52" s="8">
        <v>2500</v>
      </c>
      <c r="E52" s="9">
        <v>46300</v>
      </c>
      <c r="F52" s="7" t="s">
        <v>56</v>
      </c>
    </row>
    <row r="53" spans="1:6" x14ac:dyDescent="0.25">
      <c r="A53" s="5" t="b">
        <f>TRUE()</f>
        <v>1</v>
      </c>
      <c r="B53" s="6">
        <v>55.9</v>
      </c>
      <c r="C53" s="7" t="s">
        <v>60</v>
      </c>
      <c r="D53" s="5"/>
      <c r="E53" s="9">
        <v>46302</v>
      </c>
      <c r="F53" s="7" t="s">
        <v>56</v>
      </c>
    </row>
    <row r="54" spans="1:6" x14ac:dyDescent="0.25">
      <c r="A54" s="5" t="b">
        <f>TRUE()</f>
        <v>1</v>
      </c>
      <c r="B54" s="6">
        <v>36</v>
      </c>
      <c r="C54" s="7" t="s">
        <v>61</v>
      </c>
      <c r="D54" s="5"/>
      <c r="E54" s="9">
        <v>46302</v>
      </c>
      <c r="F54" s="7" t="s">
        <v>56</v>
      </c>
    </row>
    <row r="55" spans="1:6" x14ac:dyDescent="0.25">
      <c r="A55" s="5" t="b">
        <f>TRUE()</f>
        <v>1</v>
      </c>
      <c r="B55" s="6">
        <v>64</v>
      </c>
      <c r="C55" s="7" t="s">
        <v>62</v>
      </c>
      <c r="D55" s="5"/>
      <c r="E55" s="9">
        <v>46302</v>
      </c>
      <c r="F55" s="7" t="s">
        <v>56</v>
      </c>
    </row>
    <row r="56" spans="1:6" x14ac:dyDescent="0.25">
      <c r="A56" s="5" t="b">
        <f>TRUE()</f>
        <v>1</v>
      </c>
      <c r="B56" s="6">
        <v>100</v>
      </c>
      <c r="C56" s="7" t="s">
        <v>63</v>
      </c>
      <c r="D56" s="5"/>
      <c r="E56" s="9">
        <v>46302</v>
      </c>
      <c r="F56" s="7" t="s">
        <v>56</v>
      </c>
    </row>
    <row r="57" spans="1:6" x14ac:dyDescent="0.25">
      <c r="A57" s="5" t="b">
        <f>TRUE()</f>
        <v>1</v>
      </c>
      <c r="B57" s="6">
        <v>58</v>
      </c>
      <c r="C57" s="7" t="s">
        <v>64</v>
      </c>
      <c r="D57" s="5"/>
      <c r="E57" s="9">
        <v>46302</v>
      </c>
      <c r="F57" s="7" t="s">
        <v>65</v>
      </c>
    </row>
    <row r="58" spans="1:6" x14ac:dyDescent="0.25">
      <c r="A58" s="5" t="b">
        <f>TRUE()</f>
        <v>1</v>
      </c>
      <c r="B58" s="6">
        <v>165.5</v>
      </c>
      <c r="C58" s="7" t="s">
        <v>66</v>
      </c>
      <c r="D58" s="5"/>
      <c r="E58" s="9">
        <v>46304</v>
      </c>
      <c r="F58" s="7" t="s">
        <v>65</v>
      </c>
    </row>
    <row r="59" spans="1:6" x14ac:dyDescent="0.25">
      <c r="A59" s="5" t="b">
        <f>TRUE()</f>
        <v>1</v>
      </c>
      <c r="B59" s="6">
        <v>115</v>
      </c>
      <c r="C59" s="7" t="s">
        <v>67</v>
      </c>
      <c r="D59" s="5"/>
      <c r="E59" s="9">
        <v>46305</v>
      </c>
      <c r="F59" s="7" t="s">
        <v>65</v>
      </c>
    </row>
    <row r="60" spans="1:6" x14ac:dyDescent="0.25">
      <c r="A60" s="5" t="b">
        <f>TRUE()</f>
        <v>1</v>
      </c>
      <c r="B60" s="6">
        <v>55</v>
      </c>
      <c r="C60" s="7" t="s">
        <v>68</v>
      </c>
      <c r="D60" s="5"/>
      <c r="E60" s="9">
        <v>46301</v>
      </c>
      <c r="F60" s="7" t="s">
        <v>69</v>
      </c>
    </row>
    <row r="61" spans="1:6" x14ac:dyDescent="0.25">
      <c r="A61" s="5" t="b">
        <f>TRUE()</f>
        <v>1</v>
      </c>
      <c r="B61" s="6">
        <v>102</v>
      </c>
      <c r="C61" s="7" t="s">
        <v>70</v>
      </c>
      <c r="D61" s="5"/>
      <c r="E61" s="9">
        <v>46301</v>
      </c>
      <c r="F61" s="7" t="s">
        <v>69</v>
      </c>
    </row>
    <row r="62" spans="1:6" x14ac:dyDescent="0.25">
      <c r="A62" s="5" t="b">
        <f>TRUE()</f>
        <v>1</v>
      </c>
      <c r="B62" s="6">
        <v>-17</v>
      </c>
      <c r="C62" s="7" t="s">
        <v>71</v>
      </c>
      <c r="D62" s="5"/>
      <c r="E62" s="9">
        <v>46302</v>
      </c>
      <c r="F62" s="7" t="s">
        <v>69</v>
      </c>
    </row>
    <row r="63" spans="1:6" x14ac:dyDescent="0.25">
      <c r="A63" s="5" t="b">
        <f>TRUE()</f>
        <v>1</v>
      </c>
      <c r="B63" s="6">
        <v>14</v>
      </c>
      <c r="C63" s="7" t="s">
        <v>72</v>
      </c>
      <c r="D63" s="5"/>
      <c r="E63" s="9">
        <v>46302</v>
      </c>
      <c r="F63" s="7" t="s">
        <v>69</v>
      </c>
    </row>
    <row r="64" spans="1:6" x14ac:dyDescent="0.25">
      <c r="A64" s="5" t="b">
        <f>TRUE()</f>
        <v>1</v>
      </c>
      <c r="B64" s="6">
        <v>45</v>
      </c>
      <c r="C64" s="7" t="s">
        <v>71</v>
      </c>
      <c r="D64" s="5"/>
      <c r="E64" s="9">
        <v>46302</v>
      </c>
      <c r="F64" s="7" t="s">
        <v>69</v>
      </c>
    </row>
    <row r="65" spans="1:6" x14ac:dyDescent="0.25">
      <c r="A65" s="5" t="b">
        <f>TRUE()</f>
        <v>1</v>
      </c>
      <c r="B65" s="6">
        <v>170</v>
      </c>
      <c r="C65" s="7" t="s">
        <v>73</v>
      </c>
      <c r="D65" s="5"/>
      <c r="E65" s="9">
        <v>46302</v>
      </c>
      <c r="F65" s="7" t="s">
        <v>69</v>
      </c>
    </row>
    <row r="66" spans="1:6" x14ac:dyDescent="0.25">
      <c r="A66" s="5" t="b">
        <f>TRUE()</f>
        <v>1</v>
      </c>
      <c r="B66" s="6">
        <v>50</v>
      </c>
      <c r="C66" s="7" t="s">
        <v>74</v>
      </c>
      <c r="D66" s="5"/>
      <c r="E66" s="9">
        <v>46304</v>
      </c>
      <c r="F66" s="7" t="s">
        <v>69</v>
      </c>
    </row>
    <row r="67" spans="1:6" x14ac:dyDescent="0.25">
      <c r="A67" s="5" t="b">
        <f>TRUE()</f>
        <v>1</v>
      </c>
      <c r="B67" s="6">
        <v>15</v>
      </c>
      <c r="C67" s="7" t="s">
        <v>75</v>
      </c>
      <c r="D67" s="5"/>
      <c r="E67" s="9">
        <v>46304</v>
      </c>
      <c r="F67" s="7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showGridLines="0" zoomScaleNormal="100" workbookViewId="0"/>
  </sheetViews>
  <sheetFormatPr defaultColWidth="8.7109375" defaultRowHeight="15" x14ac:dyDescent="0.25"/>
  <cols>
    <col min="1" max="2" width="34" customWidth="1"/>
    <col min="3" max="3" width="55" customWidth="1"/>
  </cols>
  <sheetData>
    <row r="1" spans="1:3" ht="24" customHeight="1" x14ac:dyDescent="0.25">
      <c r="A1" s="32" t="s">
        <v>76</v>
      </c>
      <c r="B1" s="32"/>
      <c r="C1" s="32"/>
    </row>
    <row r="2" spans="1:3" x14ac:dyDescent="0.25">
      <c r="A2" s="4" t="s">
        <v>77</v>
      </c>
      <c r="B2" s="4" t="s">
        <v>78</v>
      </c>
      <c r="C2" s="4" t="s">
        <v>79</v>
      </c>
    </row>
    <row r="3" spans="1:3" x14ac:dyDescent="0.25">
      <c r="A3" s="5" t="s">
        <v>80</v>
      </c>
      <c r="B3" s="7" t="s">
        <v>81</v>
      </c>
      <c r="C3" s="10"/>
    </row>
    <row r="4" spans="1:3" x14ac:dyDescent="0.25">
      <c r="A4" s="5" t="s">
        <v>82</v>
      </c>
      <c r="B4" s="7" t="s">
        <v>83</v>
      </c>
      <c r="C4" s="10"/>
    </row>
    <row r="5" spans="1:3" x14ac:dyDescent="0.25">
      <c r="A5" s="5" t="s">
        <v>84</v>
      </c>
      <c r="B5" s="7" t="s">
        <v>85</v>
      </c>
      <c r="C5" s="10"/>
    </row>
    <row r="6" spans="1:3" x14ac:dyDescent="0.25">
      <c r="A6" s="5" t="s">
        <v>86</v>
      </c>
      <c r="B6" s="7" t="s">
        <v>87</v>
      </c>
      <c r="C6" s="10"/>
    </row>
    <row r="7" spans="1:3" x14ac:dyDescent="0.25">
      <c r="A7" s="5" t="s">
        <v>88</v>
      </c>
      <c r="B7" s="7" t="s">
        <v>13</v>
      </c>
      <c r="C7" s="10"/>
    </row>
    <row r="8" spans="1:3" x14ac:dyDescent="0.25">
      <c r="A8" s="5" t="s">
        <v>89</v>
      </c>
      <c r="B8" s="7" t="s">
        <v>15</v>
      </c>
      <c r="C8" s="10"/>
    </row>
    <row r="9" spans="1:3" x14ac:dyDescent="0.25">
      <c r="A9" s="5" t="s">
        <v>90</v>
      </c>
      <c r="B9" s="7" t="s">
        <v>22</v>
      </c>
      <c r="C9" s="10"/>
    </row>
    <row r="10" spans="1:3" x14ac:dyDescent="0.25">
      <c r="A10" s="5" t="s">
        <v>91</v>
      </c>
      <c r="B10" s="7" t="s">
        <v>30</v>
      </c>
      <c r="C10" s="10"/>
    </row>
    <row r="11" spans="1:3" x14ac:dyDescent="0.25">
      <c r="A11" s="5" t="s">
        <v>92</v>
      </c>
      <c r="B11" s="7" t="s">
        <v>18</v>
      </c>
      <c r="C11" s="10"/>
    </row>
    <row r="12" spans="1:3" x14ac:dyDescent="0.25">
      <c r="A12" s="5" t="s">
        <v>93</v>
      </c>
      <c r="B12" s="7" t="s">
        <v>94</v>
      </c>
      <c r="C12" s="10"/>
    </row>
    <row r="13" spans="1:3" x14ac:dyDescent="0.25">
      <c r="A13" s="5" t="s">
        <v>95</v>
      </c>
      <c r="B13" s="7" t="s">
        <v>96</v>
      </c>
      <c r="C13" s="10"/>
    </row>
    <row r="14" spans="1:3" x14ac:dyDescent="0.25">
      <c r="A14" s="5" t="s">
        <v>97</v>
      </c>
      <c r="B14" s="7" t="s">
        <v>98</v>
      </c>
      <c r="C14" s="10"/>
    </row>
    <row r="15" spans="1:3" x14ac:dyDescent="0.25">
      <c r="A15" s="5" t="s">
        <v>99</v>
      </c>
      <c r="B15" s="7" t="s">
        <v>100</v>
      </c>
      <c r="C15" s="10"/>
    </row>
    <row r="16" spans="1:3" x14ac:dyDescent="0.25">
      <c r="A16" s="5" t="s">
        <v>101</v>
      </c>
      <c r="B16" s="7" t="s">
        <v>53</v>
      </c>
      <c r="C16" s="10"/>
    </row>
    <row r="17" spans="1:3" x14ac:dyDescent="0.25">
      <c r="A17" s="5" t="s">
        <v>102</v>
      </c>
      <c r="B17" s="7" t="s">
        <v>103</v>
      </c>
      <c r="C17" s="10"/>
    </row>
    <row r="18" spans="1:3" x14ac:dyDescent="0.25">
      <c r="A18" s="5" t="s">
        <v>104</v>
      </c>
      <c r="B18" s="7" t="s">
        <v>105</v>
      </c>
      <c r="C18" s="10"/>
    </row>
    <row r="19" spans="1:3" ht="24.75" x14ac:dyDescent="0.25">
      <c r="A19" s="5" t="s">
        <v>106</v>
      </c>
      <c r="B19" s="7" t="s">
        <v>11</v>
      </c>
      <c r="C19" s="10" t="s">
        <v>107</v>
      </c>
    </row>
    <row r="20" spans="1:3" x14ac:dyDescent="0.25">
      <c r="A20" s="5" t="s">
        <v>108</v>
      </c>
      <c r="B20" s="7" t="s">
        <v>109</v>
      </c>
      <c r="C20" s="10"/>
    </row>
    <row r="21" spans="1:3" x14ac:dyDescent="0.25">
      <c r="A21" s="5" t="s">
        <v>110</v>
      </c>
      <c r="B21" s="7" t="s">
        <v>111</v>
      </c>
      <c r="C21" s="10"/>
    </row>
    <row r="22" spans="1:3" x14ac:dyDescent="0.25">
      <c r="A22" s="5" t="s">
        <v>112</v>
      </c>
      <c r="B22" s="7" t="s">
        <v>113</v>
      </c>
      <c r="C22" s="10"/>
    </row>
    <row r="23" spans="1:3" x14ac:dyDescent="0.25">
      <c r="A23" s="5" t="s">
        <v>114</v>
      </c>
      <c r="B23" s="7" t="s">
        <v>115</v>
      </c>
      <c r="C23" s="10"/>
    </row>
    <row r="24" spans="1:3" x14ac:dyDescent="0.25">
      <c r="A24" s="5" t="s">
        <v>116</v>
      </c>
      <c r="B24" s="7" t="s">
        <v>117</v>
      </c>
      <c r="C24" s="10"/>
    </row>
    <row r="25" spans="1:3" ht="24.75" x14ac:dyDescent="0.25">
      <c r="A25" s="5" t="s">
        <v>118</v>
      </c>
      <c r="B25" s="7" t="s">
        <v>34</v>
      </c>
      <c r="C25" s="10" t="s">
        <v>119</v>
      </c>
    </row>
    <row r="26" spans="1:3" x14ac:dyDescent="0.25">
      <c r="A26" s="5" t="s">
        <v>120</v>
      </c>
      <c r="B26" s="7" t="s">
        <v>121</v>
      </c>
      <c r="C26" s="10"/>
    </row>
    <row r="27" spans="1:3" ht="24.75" x14ac:dyDescent="0.25">
      <c r="A27" s="5" t="s">
        <v>122</v>
      </c>
      <c r="B27" s="7" t="s">
        <v>123</v>
      </c>
      <c r="C27" s="10" t="s">
        <v>124</v>
      </c>
    </row>
    <row r="28" spans="1:3" x14ac:dyDescent="0.25">
      <c r="A28" s="5" t="s">
        <v>125</v>
      </c>
      <c r="B28" s="7" t="s">
        <v>56</v>
      </c>
      <c r="C28" s="10" t="s">
        <v>126</v>
      </c>
    </row>
    <row r="29" spans="1:3" x14ac:dyDescent="0.25">
      <c r="A29" s="5" t="s">
        <v>127</v>
      </c>
      <c r="B29" s="7" t="s">
        <v>65</v>
      </c>
      <c r="C29" s="10" t="s">
        <v>126</v>
      </c>
    </row>
    <row r="30" spans="1:3" x14ac:dyDescent="0.25">
      <c r="A30" s="5" t="s">
        <v>128</v>
      </c>
      <c r="B30" s="7" t="s">
        <v>69</v>
      </c>
      <c r="C30" s="10" t="s">
        <v>126</v>
      </c>
    </row>
    <row r="31" spans="1:3" x14ac:dyDescent="0.25">
      <c r="A31" s="5" t="s">
        <v>129</v>
      </c>
      <c r="B31" s="7" t="s">
        <v>20</v>
      </c>
      <c r="C31" s="10" t="s">
        <v>126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2"/>
  <sheetViews>
    <sheetView showGridLines="0" zoomScaleNormal="100" workbookViewId="0"/>
  </sheetViews>
  <sheetFormatPr defaultColWidth="8.7109375" defaultRowHeight="15" x14ac:dyDescent="0.25"/>
  <cols>
    <col min="2" max="2" width="30" customWidth="1"/>
    <col min="3" max="3" width="12" customWidth="1"/>
    <col min="4" max="4" width="10" customWidth="1"/>
    <col min="5" max="6" width="9" customWidth="1"/>
    <col min="7" max="8" width="13" customWidth="1"/>
  </cols>
  <sheetData>
    <row r="2" spans="2:8" ht="15.75" x14ac:dyDescent="0.25">
      <c r="B2" s="3" t="s">
        <v>130</v>
      </c>
      <c r="C2" s="11">
        <f>SUM(C3:C7)</f>
        <v>32500</v>
      </c>
      <c r="E2" s="32" t="s">
        <v>131</v>
      </c>
      <c r="F2" s="32"/>
    </row>
    <row r="3" spans="2:8" x14ac:dyDescent="0.25">
      <c r="B3" s="3" t="s">
        <v>132</v>
      </c>
      <c r="C3" s="12">
        <v>15500</v>
      </c>
      <c r="E3" s="1" t="s">
        <v>133</v>
      </c>
      <c r="F3" s="13">
        <f>C2</f>
        <v>32500</v>
      </c>
    </row>
    <row r="4" spans="2:8" x14ac:dyDescent="0.25">
      <c r="B4" s="3" t="s">
        <v>134</v>
      </c>
      <c r="C4" s="12">
        <v>17000</v>
      </c>
      <c r="E4" s="1" t="s">
        <v>135</v>
      </c>
      <c r="F4" s="13">
        <f>C40</f>
        <v>15395.48</v>
      </c>
    </row>
    <row r="5" spans="2:8" x14ac:dyDescent="0.25">
      <c r="B5" s="3" t="s">
        <v>136</v>
      </c>
      <c r="C5" s="12"/>
      <c r="E5" s="1" t="s">
        <v>137</v>
      </c>
      <c r="F5" s="13">
        <f>C2-C40</f>
        <v>17104.52</v>
      </c>
    </row>
    <row r="6" spans="2:8" x14ac:dyDescent="0.25">
      <c r="B6" s="3" t="s">
        <v>138</v>
      </c>
      <c r="C6" s="12"/>
      <c r="E6" s="1" t="s">
        <v>139</v>
      </c>
      <c r="F6" s="13">
        <f>H40</f>
        <v>0</v>
      </c>
    </row>
    <row r="7" spans="2:8" x14ac:dyDescent="0.25">
      <c r="B7" s="3" t="s">
        <v>140</v>
      </c>
      <c r="C7" s="12"/>
      <c r="E7" s="1" t="s">
        <v>141</v>
      </c>
      <c r="F7" s="13">
        <f>F6+F5</f>
        <v>17104.52</v>
      </c>
      <c r="G7" s="14" t="s">
        <v>142</v>
      </c>
    </row>
    <row r="10" spans="2:8" ht="24" x14ac:dyDescent="0.25">
      <c r="B10" s="15" t="s">
        <v>143</v>
      </c>
      <c r="C10" s="15" t="s">
        <v>144</v>
      </c>
      <c r="D10" s="15" t="s">
        <v>145</v>
      </c>
      <c r="E10" s="15" t="s">
        <v>146</v>
      </c>
      <c r="F10" s="15" t="s">
        <v>147</v>
      </c>
      <c r="G10" s="15" t="s">
        <v>148</v>
      </c>
      <c r="H10" s="15" t="s">
        <v>149</v>
      </c>
    </row>
    <row r="11" spans="2:8" x14ac:dyDescent="0.25">
      <c r="B11" s="5" t="s">
        <v>80</v>
      </c>
      <c r="C11" s="8">
        <f>IFERROR(SUMIFS('Oct 2026'!$B$8:$B$67,'Oct 2026'!$F$8:$F$67,VLOOKUP($B11,'Category Map'!$A$3:$B$31,2,FALSE())),0)</f>
        <v>0</v>
      </c>
      <c r="D11" s="16" t="s">
        <v>150</v>
      </c>
      <c r="E11" s="16" t="s">
        <v>151</v>
      </c>
      <c r="F11" s="17">
        <f t="shared" ref="F11:F39" si="0">IFERROR(C11/$C$2,0)</f>
        <v>0</v>
      </c>
      <c r="G11" s="5"/>
      <c r="H11" s="8">
        <f t="shared" ref="H11:H39" si="1">IF(G11="",0,MAX(0,C11-G11))</f>
        <v>0</v>
      </c>
    </row>
    <row r="12" spans="2:8" x14ac:dyDescent="0.25">
      <c r="B12" s="5" t="s">
        <v>82</v>
      </c>
      <c r="C12" s="8">
        <f>IFERROR(SUMIFS('Oct 2026'!$B$8:$B$67,'Oct 2026'!$F$8:$F$67,VLOOKUP($B12,'Category Map'!$A$3:$B$31,2,FALSE())),0)</f>
        <v>0</v>
      </c>
      <c r="D12" s="16" t="s">
        <v>150</v>
      </c>
      <c r="E12" s="16" t="s">
        <v>151</v>
      </c>
      <c r="F12" s="17">
        <f t="shared" si="0"/>
        <v>0</v>
      </c>
      <c r="G12" s="5"/>
      <c r="H12" s="8">
        <f t="shared" si="1"/>
        <v>0</v>
      </c>
    </row>
    <row r="13" spans="2:8" x14ac:dyDescent="0.25">
      <c r="B13" s="5" t="s">
        <v>84</v>
      </c>
      <c r="C13" s="8">
        <f>IFERROR(SUMIFS('Oct 2026'!$B$8:$B$67,'Oct 2026'!$F$8:$F$67,VLOOKUP($B13,'Category Map'!$A$3:$B$31,2,FALSE())),0)</f>
        <v>0</v>
      </c>
      <c r="D13" s="16" t="s">
        <v>150</v>
      </c>
      <c r="E13" s="16" t="s">
        <v>151</v>
      </c>
      <c r="F13" s="17">
        <f t="shared" si="0"/>
        <v>0</v>
      </c>
      <c r="G13" s="5"/>
      <c r="H13" s="8">
        <f t="shared" si="1"/>
        <v>0</v>
      </c>
    </row>
    <row r="14" spans="2:8" x14ac:dyDescent="0.25">
      <c r="B14" s="5" t="s">
        <v>86</v>
      </c>
      <c r="C14" s="8">
        <f>IFERROR(SUMIFS('Oct 2026'!$B$8:$B$67,'Oct 2026'!$F$8:$F$67,VLOOKUP($B14,'Category Map'!$A$3:$B$31,2,FALSE())),0)</f>
        <v>0</v>
      </c>
      <c r="D14" s="16" t="s">
        <v>150</v>
      </c>
      <c r="E14" s="16" t="s">
        <v>151</v>
      </c>
      <c r="F14" s="17">
        <f t="shared" si="0"/>
        <v>0</v>
      </c>
      <c r="G14" s="5"/>
      <c r="H14" s="8">
        <f t="shared" si="1"/>
        <v>0</v>
      </c>
    </row>
    <row r="15" spans="2:8" x14ac:dyDescent="0.25">
      <c r="B15" s="5" t="s">
        <v>88</v>
      </c>
      <c r="C15" s="8">
        <f>IFERROR(SUMIFS('Oct 2026'!$B$8:$B$67,'Oct 2026'!$F$8:$F$67,VLOOKUP($B15,'Category Map'!$A$3:$B$31,2,FALSE())),0)</f>
        <v>40</v>
      </c>
      <c r="D15" s="16" t="s">
        <v>150</v>
      </c>
      <c r="E15" s="16" t="s">
        <v>151</v>
      </c>
      <c r="F15" s="17">
        <f t="shared" si="0"/>
        <v>1.2307692307692308E-3</v>
      </c>
      <c r="G15" s="5"/>
      <c r="H15" s="8">
        <f t="shared" si="1"/>
        <v>0</v>
      </c>
    </row>
    <row r="16" spans="2:8" x14ac:dyDescent="0.25">
      <c r="B16" s="5" t="s">
        <v>89</v>
      </c>
      <c r="C16" s="8">
        <f>IFERROR(SUMIFS('Oct 2026'!$B$8:$B$67,'Oct 2026'!$F$8:$F$67,VLOOKUP($B16,'Category Map'!$A$3:$B$31,2,FALSE())),0)</f>
        <v>429.5</v>
      </c>
      <c r="D16" s="16" t="s">
        <v>152</v>
      </c>
      <c r="E16" s="16" t="s">
        <v>151</v>
      </c>
      <c r="F16" s="17">
        <f t="shared" si="0"/>
        <v>1.3215384615384615E-2</v>
      </c>
      <c r="G16" s="5"/>
      <c r="H16" s="8">
        <f t="shared" si="1"/>
        <v>0</v>
      </c>
    </row>
    <row r="17" spans="2:8" x14ac:dyDescent="0.25">
      <c r="B17" s="5" t="s">
        <v>90</v>
      </c>
      <c r="C17" s="8">
        <f>IFERROR(SUMIFS('Oct 2026'!$B$8:$B$67,'Oct 2026'!$F$8:$F$67,VLOOKUP($B17,'Category Map'!$A$3:$B$31,2,FALSE())),0)</f>
        <v>1205.8000000000002</v>
      </c>
      <c r="D17" s="16" t="s">
        <v>152</v>
      </c>
      <c r="E17" s="16" t="s">
        <v>151</v>
      </c>
      <c r="F17" s="17">
        <f t="shared" si="0"/>
        <v>3.7101538461538471E-2</v>
      </c>
      <c r="G17" s="5"/>
      <c r="H17" s="8">
        <f t="shared" si="1"/>
        <v>0</v>
      </c>
    </row>
    <row r="18" spans="2:8" x14ac:dyDescent="0.25">
      <c r="B18" s="5" t="s">
        <v>91</v>
      </c>
      <c r="C18" s="8">
        <f>IFERROR(SUMIFS('Oct 2026'!$B$8:$B$67,'Oct 2026'!$F$8:$F$67,VLOOKUP($B18,'Category Map'!$A$3:$B$31,2,FALSE())),0)</f>
        <v>106</v>
      </c>
      <c r="D18" s="16" t="s">
        <v>150</v>
      </c>
      <c r="E18" s="16" t="s">
        <v>151</v>
      </c>
      <c r="F18" s="17">
        <f t="shared" si="0"/>
        <v>3.2615384615384616E-3</v>
      </c>
      <c r="G18" s="5"/>
      <c r="H18" s="8">
        <f t="shared" si="1"/>
        <v>0</v>
      </c>
    </row>
    <row r="19" spans="2:8" x14ac:dyDescent="0.25">
      <c r="B19" s="5" t="s">
        <v>92</v>
      </c>
      <c r="C19" s="8">
        <f>IFERROR(SUMIFS('Oct 2026'!$B$8:$B$67,'Oct 2026'!$F$8:$F$67,VLOOKUP($B19,'Category Map'!$A$3:$B$31,2,FALSE())),0)</f>
        <v>1000</v>
      </c>
      <c r="D19" s="16" t="s">
        <v>150</v>
      </c>
      <c r="E19" s="16" t="s">
        <v>151</v>
      </c>
      <c r="F19" s="17">
        <f t="shared" si="0"/>
        <v>3.0769230769230771E-2</v>
      </c>
      <c r="G19" s="5"/>
      <c r="H19" s="8">
        <f t="shared" si="1"/>
        <v>0</v>
      </c>
    </row>
    <row r="20" spans="2:8" x14ac:dyDescent="0.25">
      <c r="B20" s="5" t="s">
        <v>93</v>
      </c>
      <c r="C20" s="8">
        <f>IFERROR(SUMIFS('Oct 2026'!$B$8:$B$67,'Oct 2026'!$F$8:$F$67,VLOOKUP($B20,'Category Map'!$A$3:$B$31,2,FALSE())),0)</f>
        <v>0</v>
      </c>
      <c r="D20" s="16"/>
      <c r="E20" s="16"/>
      <c r="F20" s="17">
        <f t="shared" si="0"/>
        <v>0</v>
      </c>
      <c r="G20" s="5"/>
      <c r="H20" s="8">
        <f t="shared" si="1"/>
        <v>0</v>
      </c>
    </row>
    <row r="21" spans="2:8" x14ac:dyDescent="0.25">
      <c r="B21" s="5" t="s">
        <v>95</v>
      </c>
      <c r="C21" s="8">
        <f>IFERROR(SUMIFS('Oct 2026'!$B$8:$B$67,'Oct 2026'!$F$8:$F$67,VLOOKUP($B21,'Category Map'!$A$3:$B$31,2,FALSE())),0)</f>
        <v>0</v>
      </c>
      <c r="D21" s="16" t="s">
        <v>150</v>
      </c>
      <c r="E21" s="16" t="s">
        <v>151</v>
      </c>
      <c r="F21" s="17">
        <f t="shared" si="0"/>
        <v>0</v>
      </c>
      <c r="G21" s="5"/>
      <c r="H21" s="8">
        <f t="shared" si="1"/>
        <v>0</v>
      </c>
    </row>
    <row r="22" spans="2:8" x14ac:dyDescent="0.25">
      <c r="B22" s="5" t="s">
        <v>97</v>
      </c>
      <c r="C22" s="8">
        <f>IFERROR(SUMIFS('Oct 2026'!$B$8:$B$67,'Oct 2026'!$F$8:$F$67,VLOOKUP($B22,'Category Map'!$A$3:$B$31,2,FALSE())),0)</f>
        <v>0</v>
      </c>
      <c r="D22" s="16"/>
      <c r="E22" s="16"/>
      <c r="F22" s="17">
        <f t="shared" si="0"/>
        <v>0</v>
      </c>
      <c r="G22" s="5"/>
      <c r="H22" s="8">
        <f t="shared" si="1"/>
        <v>0</v>
      </c>
    </row>
    <row r="23" spans="2:8" x14ac:dyDescent="0.25">
      <c r="B23" s="5" t="s">
        <v>99</v>
      </c>
      <c r="C23" s="8">
        <f>IFERROR(SUMIFS('Oct 2026'!$B$8:$B$67,'Oct 2026'!$F$8:$F$67,VLOOKUP($B23,'Category Map'!$A$3:$B$31,2,FALSE())),0)</f>
        <v>0</v>
      </c>
      <c r="D23" s="16"/>
      <c r="E23" s="16"/>
      <c r="F23" s="17">
        <f t="shared" si="0"/>
        <v>0</v>
      </c>
      <c r="G23" s="5"/>
      <c r="H23" s="8">
        <f t="shared" si="1"/>
        <v>0</v>
      </c>
    </row>
    <row r="24" spans="2:8" x14ac:dyDescent="0.25">
      <c r="B24" s="5" t="s">
        <v>101</v>
      </c>
      <c r="C24" s="8">
        <f>IFERROR(SUMIFS('Oct 2026'!$B$8:$B$67,'Oct 2026'!$F$8:$F$67,VLOOKUP($B24,'Category Map'!$A$3:$B$31,2,FALSE())),0)</f>
        <v>970</v>
      </c>
      <c r="D24" s="16" t="s">
        <v>152</v>
      </c>
      <c r="E24" s="16" t="s">
        <v>153</v>
      </c>
      <c r="F24" s="17">
        <f t="shared" si="0"/>
        <v>2.9846153846153845E-2</v>
      </c>
      <c r="G24" s="5"/>
      <c r="H24" s="8">
        <f t="shared" si="1"/>
        <v>0</v>
      </c>
    </row>
    <row r="25" spans="2:8" x14ac:dyDescent="0.25">
      <c r="B25" s="5" t="s">
        <v>102</v>
      </c>
      <c r="C25" s="8">
        <f>IFERROR(SUMIFS('Oct 2026'!$B$8:$B$67,'Oct 2026'!$F$8:$F$67,VLOOKUP($B25,'Category Map'!$A$3:$B$31,2,FALSE())),0)</f>
        <v>0</v>
      </c>
      <c r="D25" s="16"/>
      <c r="E25" s="16"/>
      <c r="F25" s="17">
        <f t="shared" si="0"/>
        <v>0</v>
      </c>
      <c r="G25" s="5"/>
      <c r="H25" s="8">
        <f t="shared" si="1"/>
        <v>0</v>
      </c>
    </row>
    <row r="26" spans="2:8" x14ac:dyDescent="0.25">
      <c r="B26" s="5" t="s">
        <v>104</v>
      </c>
      <c r="C26" s="8">
        <f>IFERROR(SUMIFS('Oct 2026'!$B$8:$B$67,'Oct 2026'!$F$8:$F$67,VLOOKUP($B26,'Category Map'!$A$3:$B$31,2,FALSE())),0)</f>
        <v>0</v>
      </c>
      <c r="D26" s="16"/>
      <c r="E26" s="16"/>
      <c r="F26" s="17">
        <f t="shared" si="0"/>
        <v>0</v>
      </c>
      <c r="G26" s="5"/>
      <c r="H26" s="8">
        <f t="shared" si="1"/>
        <v>0</v>
      </c>
    </row>
    <row r="27" spans="2:8" x14ac:dyDescent="0.25">
      <c r="B27" s="5" t="s">
        <v>106</v>
      </c>
      <c r="C27" s="8">
        <f>IFERROR(SUMIFS('Oct 2026'!$B$8:$B$67,'Oct 2026'!$F$8:$F$67,VLOOKUP($B27,'Category Map'!$A$3:$B$31,2,FALSE())),0)</f>
        <v>5000</v>
      </c>
      <c r="D27" s="16" t="s">
        <v>150</v>
      </c>
      <c r="E27" s="16" t="s">
        <v>151</v>
      </c>
      <c r="F27" s="17">
        <f t="shared" si="0"/>
        <v>0.15384615384615385</v>
      </c>
      <c r="G27" s="5"/>
      <c r="H27" s="8">
        <f t="shared" si="1"/>
        <v>0</v>
      </c>
    </row>
    <row r="28" spans="2:8" x14ac:dyDescent="0.25">
      <c r="B28" s="5" t="s">
        <v>108</v>
      </c>
      <c r="C28" s="8">
        <f>IFERROR(SUMIFS('Oct 2026'!$B$8:$B$67,'Oct 2026'!$F$8:$F$67,VLOOKUP($B28,'Category Map'!$A$3:$B$31,2,FALSE())),0)</f>
        <v>0</v>
      </c>
      <c r="D28" s="16"/>
      <c r="E28" s="16"/>
      <c r="F28" s="17">
        <f t="shared" si="0"/>
        <v>0</v>
      </c>
      <c r="G28" s="5"/>
      <c r="H28" s="8">
        <f t="shared" si="1"/>
        <v>0</v>
      </c>
    </row>
    <row r="29" spans="2:8" x14ac:dyDescent="0.25">
      <c r="B29" s="5" t="s">
        <v>110</v>
      </c>
      <c r="C29" s="8">
        <f>IFERROR(SUMIFS('Oct 2026'!$B$8:$B$67,'Oct 2026'!$F$8:$F$67,VLOOKUP($B29,'Category Map'!$A$3:$B$31,2,FALSE())),0)</f>
        <v>0</v>
      </c>
      <c r="D29" s="16"/>
      <c r="E29" s="16"/>
      <c r="F29" s="17">
        <f t="shared" si="0"/>
        <v>0</v>
      </c>
      <c r="G29" s="5"/>
      <c r="H29" s="8">
        <f t="shared" si="1"/>
        <v>0</v>
      </c>
    </row>
    <row r="30" spans="2:8" x14ac:dyDescent="0.25">
      <c r="B30" s="5" t="s">
        <v>112</v>
      </c>
      <c r="C30" s="8">
        <f>IFERROR(SUMIFS('Oct 2026'!$B$8:$B$67,'Oct 2026'!$F$8:$F$67,VLOOKUP($B30,'Category Map'!$A$3:$B$31,2,FALSE())),0)</f>
        <v>0</v>
      </c>
      <c r="D30" s="16" t="s">
        <v>150</v>
      </c>
      <c r="E30" s="16" t="s">
        <v>153</v>
      </c>
      <c r="F30" s="17">
        <f t="shared" si="0"/>
        <v>0</v>
      </c>
      <c r="G30" s="5"/>
      <c r="H30" s="8">
        <f t="shared" si="1"/>
        <v>0</v>
      </c>
    </row>
    <row r="31" spans="2:8" x14ac:dyDescent="0.25">
      <c r="B31" s="5" t="s">
        <v>114</v>
      </c>
      <c r="C31" s="8">
        <f>IFERROR(SUMIFS('Oct 2026'!$B$8:$B$67,'Oct 2026'!$F$8:$F$67,VLOOKUP($B31,'Category Map'!$A$3:$B$31,2,FALSE())),0)</f>
        <v>0</v>
      </c>
      <c r="D31" s="16" t="s">
        <v>150</v>
      </c>
      <c r="E31" s="16" t="s">
        <v>153</v>
      </c>
      <c r="F31" s="17">
        <f t="shared" si="0"/>
        <v>0</v>
      </c>
      <c r="G31" s="5"/>
      <c r="H31" s="8">
        <f t="shared" si="1"/>
        <v>0</v>
      </c>
    </row>
    <row r="32" spans="2:8" x14ac:dyDescent="0.25">
      <c r="B32" s="5" t="s">
        <v>116</v>
      </c>
      <c r="C32" s="8">
        <f>IFERROR(SUMIFS('Oct 2026'!$B$8:$B$67,'Oct 2026'!$F$8:$F$67,VLOOKUP($B32,'Category Map'!$A$3:$B$31,2,FALSE())),0)</f>
        <v>0</v>
      </c>
      <c r="D32" s="16"/>
      <c r="E32" s="16"/>
      <c r="F32" s="17">
        <f t="shared" si="0"/>
        <v>0</v>
      </c>
      <c r="G32" s="5"/>
      <c r="H32" s="8">
        <f t="shared" si="1"/>
        <v>0</v>
      </c>
    </row>
    <row r="33" spans="2:8" x14ac:dyDescent="0.25">
      <c r="B33" s="5" t="s">
        <v>118</v>
      </c>
      <c r="C33" s="8">
        <f>IFERROR(SUMIFS('Oct 2026'!$B$8:$B$67,'Oct 2026'!$F$8:$F$67,VLOOKUP($B33,'Category Map'!$A$3:$B$31,2,FALSE())),0)</f>
        <v>2244</v>
      </c>
      <c r="D33" s="16" t="s">
        <v>152</v>
      </c>
      <c r="E33" s="16" t="s">
        <v>153</v>
      </c>
      <c r="F33" s="17">
        <f t="shared" si="0"/>
        <v>6.904615384615384E-2</v>
      </c>
      <c r="G33" s="5"/>
      <c r="H33" s="8">
        <f t="shared" si="1"/>
        <v>0</v>
      </c>
    </row>
    <row r="34" spans="2:8" x14ac:dyDescent="0.25">
      <c r="B34" s="5" t="s">
        <v>120</v>
      </c>
      <c r="C34" s="8">
        <f>IFERROR(SUMIFS('Oct 2026'!$B$8:$B$67,'Oct 2026'!$F$8:$F$67,VLOOKUP($B34,'Category Map'!$A$3:$B$31,2,FALSE())),0)</f>
        <v>0</v>
      </c>
      <c r="D34" s="16"/>
      <c r="E34" s="16"/>
      <c r="F34" s="17">
        <f t="shared" si="0"/>
        <v>0</v>
      </c>
      <c r="G34" s="5"/>
      <c r="H34" s="8">
        <f t="shared" si="1"/>
        <v>0</v>
      </c>
    </row>
    <row r="35" spans="2:8" x14ac:dyDescent="0.25">
      <c r="B35" s="5" t="s">
        <v>122</v>
      </c>
      <c r="C35" s="8">
        <f>IFERROR(SUMIFS('Oct 2026'!$B$8:$B$67,'Oct 2026'!$F$8:$F$67,VLOOKUP($B35,'Category Map'!$A$3:$B$31,2,FALSE())),0)</f>
        <v>0</v>
      </c>
      <c r="D35" s="16" t="s">
        <v>152</v>
      </c>
      <c r="E35" s="16" t="s">
        <v>151</v>
      </c>
      <c r="F35" s="17">
        <f t="shared" si="0"/>
        <v>0</v>
      </c>
      <c r="G35" s="5"/>
      <c r="H35" s="8">
        <f t="shared" si="1"/>
        <v>0</v>
      </c>
    </row>
    <row r="36" spans="2:8" x14ac:dyDescent="0.25">
      <c r="B36" s="5" t="s">
        <v>125</v>
      </c>
      <c r="C36" s="8">
        <f>IFERROR(SUMIFS('Oct 2026'!$B$8:$B$67,'Oct 2026'!$F$8:$F$67,VLOOKUP($B36,'Category Map'!$A$3:$B$31,2,FALSE())),0)</f>
        <v>2912.9</v>
      </c>
      <c r="D36" s="16" t="s">
        <v>152</v>
      </c>
      <c r="E36" s="16" t="s">
        <v>153</v>
      </c>
      <c r="F36" s="17">
        <f t="shared" si="0"/>
        <v>8.9627692307692311E-2</v>
      </c>
      <c r="G36" s="5"/>
      <c r="H36" s="8">
        <f t="shared" si="1"/>
        <v>0</v>
      </c>
    </row>
    <row r="37" spans="2:8" x14ac:dyDescent="0.25">
      <c r="B37" s="5" t="s">
        <v>127</v>
      </c>
      <c r="C37" s="8">
        <f>IFERROR(SUMIFS('Oct 2026'!$B$8:$B$67,'Oct 2026'!$F$8:$F$67,VLOOKUP($B37,'Category Map'!$A$3:$B$31,2,FALSE())),0)</f>
        <v>338.5</v>
      </c>
      <c r="D37" s="16" t="s">
        <v>152</v>
      </c>
      <c r="E37" s="16" t="s">
        <v>153</v>
      </c>
      <c r="F37" s="17">
        <f t="shared" si="0"/>
        <v>1.0415384615384615E-2</v>
      </c>
      <c r="G37" s="5"/>
      <c r="H37" s="8">
        <f t="shared" si="1"/>
        <v>0</v>
      </c>
    </row>
    <row r="38" spans="2:8" x14ac:dyDescent="0.25">
      <c r="B38" s="5" t="s">
        <v>128</v>
      </c>
      <c r="C38" s="8">
        <f>IFERROR(SUMIFS('Oct 2026'!$B$8:$B$67,'Oct 2026'!$F$8:$F$67,VLOOKUP($B38,'Category Map'!$A$3:$B$31,2,FALSE())),0)</f>
        <v>434</v>
      </c>
      <c r="D38" s="16" t="s">
        <v>152</v>
      </c>
      <c r="E38" s="16" t="s">
        <v>153</v>
      </c>
      <c r="F38" s="17">
        <f t="shared" si="0"/>
        <v>1.3353846153846154E-2</v>
      </c>
      <c r="G38" s="5"/>
      <c r="H38" s="8">
        <f t="shared" si="1"/>
        <v>0</v>
      </c>
    </row>
    <row r="39" spans="2:8" x14ac:dyDescent="0.25">
      <c r="B39" s="5" t="s">
        <v>129</v>
      </c>
      <c r="C39" s="8">
        <f>IFERROR(SUMIFS('Oct 2026'!$B$8:$B$67,'Oct 2026'!$F$8:$F$67,VLOOKUP($B39,'Category Map'!$A$3:$B$31,2,FALSE())),0)</f>
        <v>714.78</v>
      </c>
      <c r="D39" s="16" t="s">
        <v>150</v>
      </c>
      <c r="E39" s="16" t="s">
        <v>151</v>
      </c>
      <c r="F39" s="17">
        <f t="shared" si="0"/>
        <v>2.1993230769230768E-2</v>
      </c>
      <c r="G39" s="5"/>
      <c r="H39" s="8">
        <f t="shared" si="1"/>
        <v>0</v>
      </c>
    </row>
    <row r="40" spans="2:8" x14ac:dyDescent="0.25">
      <c r="B40" s="18" t="s">
        <v>154</v>
      </c>
      <c r="C40" s="19">
        <f>SUM(C11:C39)</f>
        <v>15395.48</v>
      </c>
      <c r="F40" s="20">
        <f>SUM(F11:F39)</f>
        <v>0.4737070769230769</v>
      </c>
      <c r="G40" s="19">
        <f>SUM(G11:G39)</f>
        <v>0</v>
      </c>
      <c r="H40" s="19">
        <f>SUM(H11:H39)</f>
        <v>0</v>
      </c>
    </row>
    <row r="42" spans="2:8" x14ac:dyDescent="0.25">
      <c r="B42" s="21" t="s">
        <v>155</v>
      </c>
      <c r="C42" s="11">
        <f>C40-'Oct 2026'!D4</f>
        <v>0</v>
      </c>
      <c r="D42" s="33" t="str">
        <f>IF(C42=0,"Matches the raw log exactly","Off by "&amp;TEXT(C42,"#,##0.00")&amp;" vs. the raw log — check for an uncategorized transaction")</f>
        <v>Matches the raw log exactly</v>
      </c>
      <c r="E42" s="33"/>
      <c r="F42" s="33"/>
      <c r="G42" s="33"/>
      <c r="H42" s="33"/>
    </row>
  </sheetData>
  <mergeCells count="2">
    <mergeCell ref="E2:F2"/>
    <mergeCell ref="D42:H4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0"/>
  <sheetViews>
    <sheetView showGridLines="0" zoomScaleNormal="100" workbookViewId="0"/>
  </sheetViews>
  <sheetFormatPr defaultColWidth="8.7109375" defaultRowHeight="15" x14ac:dyDescent="0.25"/>
  <cols>
    <col min="1" max="1" width="32" customWidth="1"/>
    <col min="2" max="2" width="14" customWidth="1"/>
  </cols>
  <sheetData>
    <row r="2" spans="1:2" ht="15.75" x14ac:dyDescent="0.25">
      <c r="A2" s="22" t="s">
        <v>156</v>
      </c>
    </row>
    <row r="3" spans="1:2" x14ac:dyDescent="0.25">
      <c r="A3" s="3" t="s">
        <v>157</v>
      </c>
      <c r="B3" s="12">
        <v>35000</v>
      </c>
    </row>
    <row r="4" spans="1:2" x14ac:dyDescent="0.25">
      <c r="A4" s="3" t="s">
        <v>158</v>
      </c>
      <c r="B4" s="12">
        <v>0</v>
      </c>
    </row>
    <row r="5" spans="1:2" x14ac:dyDescent="0.25">
      <c r="A5" s="3" t="s">
        <v>159</v>
      </c>
      <c r="B5" s="23">
        <f>MAX(B3-B4,0)</f>
        <v>35000</v>
      </c>
    </row>
    <row r="6" spans="1:2" x14ac:dyDescent="0.25">
      <c r="A6" s="3" t="s">
        <v>160</v>
      </c>
      <c r="B6" s="24" t="s">
        <v>161</v>
      </c>
    </row>
    <row r="7" spans="1:2" x14ac:dyDescent="0.25">
      <c r="A7" s="3" t="s">
        <v>162</v>
      </c>
      <c r="B7" s="25">
        <v>5</v>
      </c>
    </row>
    <row r="8" spans="1:2" x14ac:dyDescent="0.25">
      <c r="A8" s="3" t="s">
        <v>163</v>
      </c>
      <c r="B8" s="25">
        <v>2</v>
      </c>
    </row>
    <row r="9" spans="1:2" x14ac:dyDescent="0.25">
      <c r="A9" s="3" t="s">
        <v>164</v>
      </c>
      <c r="B9" s="23">
        <f>IFERROR(B5/B7,0)</f>
        <v>7000</v>
      </c>
    </row>
    <row r="10" spans="1:2" x14ac:dyDescent="0.25">
      <c r="A10" s="3" t="s">
        <v>165</v>
      </c>
      <c r="B10" s="23">
        <f>B9*B8</f>
        <v>14000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0" customWidth="1"/>
    <col min="3" max="3" width="30" customWidth="1"/>
    <col min="4" max="4" width="4" customWidth="1"/>
    <col min="5" max="5" width="13" customWidth="1"/>
    <col min="6" max="6" width="14" customWidth="1"/>
  </cols>
  <sheetData>
    <row r="1" spans="1:6" ht="24" x14ac:dyDescent="0.25">
      <c r="A1" s="15" t="s">
        <v>166</v>
      </c>
      <c r="B1" s="15" t="s">
        <v>167</v>
      </c>
      <c r="C1" s="15" t="s">
        <v>168</v>
      </c>
      <c r="E1" s="15" t="s">
        <v>169</v>
      </c>
      <c r="F1" s="15" t="s">
        <v>170</v>
      </c>
    </row>
    <row r="2" spans="1:6" x14ac:dyDescent="0.25">
      <c r="A2">
        <v>1</v>
      </c>
      <c r="B2" s="24" t="b">
        <f>TRUE()</f>
        <v>1</v>
      </c>
      <c r="C2" t="s">
        <v>171</v>
      </c>
      <c r="E2" s="12">
        <v>15639</v>
      </c>
      <c r="F2" s="26">
        <v>46300</v>
      </c>
    </row>
    <row r="3" spans="1:6" x14ac:dyDescent="0.25">
      <c r="A3">
        <v>2</v>
      </c>
      <c r="B3" s="24" t="b">
        <f>TRUE()</f>
        <v>1</v>
      </c>
      <c r="C3" t="s">
        <v>172</v>
      </c>
      <c r="E3" s="12">
        <v>2500</v>
      </c>
      <c r="F3" s="26">
        <v>46305</v>
      </c>
    </row>
    <row r="4" spans="1:6" x14ac:dyDescent="0.25">
      <c r="A4">
        <v>3</v>
      </c>
      <c r="B4" s="24" t="b">
        <f>FALSE()</f>
        <v>0</v>
      </c>
      <c r="C4" t="s">
        <v>106</v>
      </c>
      <c r="E4" s="12">
        <v>40000</v>
      </c>
      <c r="F4" s="26">
        <v>46331</v>
      </c>
    </row>
    <row r="5" spans="1:6" x14ac:dyDescent="0.25">
      <c r="A5">
        <v>4</v>
      </c>
      <c r="B5" s="24" t="b">
        <f>FALSE()</f>
        <v>0</v>
      </c>
      <c r="C5" t="s">
        <v>173</v>
      </c>
      <c r="E5" s="12">
        <v>10000</v>
      </c>
    </row>
    <row r="6" spans="1:6" x14ac:dyDescent="0.25">
      <c r="A6">
        <v>5</v>
      </c>
      <c r="B6" s="24" t="b">
        <f>FALSE()</f>
        <v>0</v>
      </c>
      <c r="C6" t="s">
        <v>174</v>
      </c>
      <c r="E6" s="12">
        <v>8000</v>
      </c>
      <c r="F6" s="26">
        <v>46361</v>
      </c>
    </row>
    <row r="7" spans="1:6" x14ac:dyDescent="0.25">
      <c r="A7">
        <v>6</v>
      </c>
      <c r="B7" s="24" t="b">
        <f>FALSE()</f>
        <v>0</v>
      </c>
      <c r="C7" t="s">
        <v>175</v>
      </c>
      <c r="E7" s="12">
        <v>45000</v>
      </c>
      <c r="F7" s="26">
        <v>46361</v>
      </c>
    </row>
    <row r="8" spans="1:6" x14ac:dyDescent="0.25">
      <c r="A8">
        <v>7</v>
      </c>
      <c r="B8" s="24" t="b">
        <f>FALSE()</f>
        <v>0</v>
      </c>
      <c r="C8" t="s">
        <v>176</v>
      </c>
      <c r="E8" s="12">
        <v>2500</v>
      </c>
    </row>
    <row r="9" spans="1:6" x14ac:dyDescent="0.25">
      <c r="A9">
        <v>8</v>
      </c>
      <c r="B9" s="24" t="b">
        <f>FALSE()</f>
        <v>0</v>
      </c>
      <c r="C9" t="s">
        <v>106</v>
      </c>
      <c r="E9" s="12">
        <v>40000</v>
      </c>
    </row>
    <row r="10" spans="1:6" x14ac:dyDescent="0.25">
      <c r="A10">
        <v>9</v>
      </c>
      <c r="B10" s="24" t="b">
        <f>FALSE()</f>
        <v>0</v>
      </c>
      <c r="C10" t="s">
        <v>177</v>
      </c>
    </row>
    <row r="11" spans="1:6" x14ac:dyDescent="0.25">
      <c r="A11">
        <v>10</v>
      </c>
      <c r="B11" s="24" t="b">
        <f>FALSE()</f>
        <v>0</v>
      </c>
      <c r="C11" t="s">
        <v>178</v>
      </c>
    </row>
    <row r="12" spans="1:6" x14ac:dyDescent="0.25">
      <c r="A12">
        <v>11</v>
      </c>
      <c r="B12" s="24" t="b">
        <f>FALSE()</f>
        <v>0</v>
      </c>
      <c r="C12" t="s">
        <v>179</v>
      </c>
    </row>
    <row r="13" spans="1:6" x14ac:dyDescent="0.25">
      <c r="A13">
        <v>12</v>
      </c>
      <c r="B13" s="24" t="b">
        <f>FALSE()</f>
        <v>0</v>
      </c>
      <c r="C13" t="s">
        <v>180</v>
      </c>
    </row>
    <row r="14" spans="1:6" x14ac:dyDescent="0.25">
      <c r="A14">
        <v>13</v>
      </c>
      <c r="B14" s="24" t="b">
        <f>FALSE()</f>
        <v>0</v>
      </c>
    </row>
    <row r="15" spans="1:6" x14ac:dyDescent="0.25">
      <c r="A15">
        <v>14</v>
      </c>
      <c r="B15" s="24" t="b">
        <f>FALSE()</f>
        <v>0</v>
      </c>
    </row>
    <row r="16" spans="1:6" x14ac:dyDescent="0.25">
      <c r="A16">
        <v>15</v>
      </c>
      <c r="B16" s="24" t="b">
        <f>FALSE()</f>
        <v>0</v>
      </c>
    </row>
    <row r="17" spans="1:6" x14ac:dyDescent="0.25">
      <c r="A17">
        <v>16</v>
      </c>
      <c r="B17" s="24" t="b">
        <f>FALSE()</f>
        <v>0</v>
      </c>
    </row>
    <row r="18" spans="1:6" x14ac:dyDescent="0.25">
      <c r="A18">
        <v>17</v>
      </c>
      <c r="B18" s="24" t="b">
        <f>FALSE()</f>
        <v>0</v>
      </c>
      <c r="C18" t="s">
        <v>181</v>
      </c>
      <c r="E18" s="12">
        <v>25000</v>
      </c>
      <c r="F18" s="26">
        <v>46300</v>
      </c>
    </row>
    <row r="19" spans="1:6" x14ac:dyDescent="0.25">
      <c r="A19">
        <v>18</v>
      </c>
      <c r="B19" s="24" t="b">
        <f>FALSE()</f>
        <v>0</v>
      </c>
      <c r="C19" t="s">
        <v>182</v>
      </c>
      <c r="E19" s="12">
        <v>30000</v>
      </c>
    </row>
    <row r="20" spans="1:6" x14ac:dyDescent="0.25">
      <c r="A20">
        <v>19</v>
      </c>
      <c r="B20" s="24" t="b">
        <f>FALSE()</f>
        <v>0</v>
      </c>
    </row>
    <row r="22" spans="1:6" x14ac:dyDescent="0.25">
      <c r="B22" s="1" t="s">
        <v>183</v>
      </c>
      <c r="E22" s="13">
        <f>SUM(E2:E20)</f>
        <v>218639</v>
      </c>
    </row>
    <row r="23" spans="1:6" x14ac:dyDescent="0.25">
      <c r="B23" s="27" t="s">
        <v>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showGridLines="0" zoomScaleNormal="100" workbookViewId="0"/>
  </sheetViews>
  <sheetFormatPr defaultColWidth="8.7109375" defaultRowHeight="15" x14ac:dyDescent="0.25"/>
  <cols>
    <col min="1" max="2" width="10" customWidth="1"/>
    <col min="3" max="3" width="20" customWidth="1"/>
    <col min="4" max="5" width="11" customWidth="1"/>
    <col min="6" max="6" width="16" customWidth="1"/>
  </cols>
  <sheetData>
    <row r="1" spans="1:6" x14ac:dyDescent="0.25">
      <c r="A1" s="15" t="s">
        <v>4</v>
      </c>
      <c r="B1" s="15" t="s">
        <v>5</v>
      </c>
      <c r="C1" s="15" t="s">
        <v>6</v>
      </c>
      <c r="D1" s="15" t="s">
        <v>7</v>
      </c>
      <c r="E1" s="15" t="s">
        <v>8</v>
      </c>
      <c r="F1" s="15" t="s">
        <v>9</v>
      </c>
    </row>
    <row r="2" spans="1:6" x14ac:dyDescent="0.25">
      <c r="A2" s="24" t="b">
        <f>FALSE()</f>
        <v>0</v>
      </c>
      <c r="C2" t="s">
        <v>185</v>
      </c>
    </row>
    <row r="3" spans="1:6" x14ac:dyDescent="0.25">
      <c r="A3" s="24" t="b">
        <f>FALSE()</f>
        <v>0</v>
      </c>
      <c r="C3" t="s">
        <v>186</v>
      </c>
      <c r="D3" s="11">
        <v>2000</v>
      </c>
    </row>
    <row r="4" spans="1:6" x14ac:dyDescent="0.25">
      <c r="A4" s="24" t="b">
        <f>FALSE()</f>
        <v>0</v>
      </c>
      <c r="C4" t="s">
        <v>186</v>
      </c>
      <c r="D4" s="11">
        <v>2000</v>
      </c>
    </row>
    <row r="5" spans="1:6" x14ac:dyDescent="0.25">
      <c r="A5" s="24" t="b">
        <f>FALSE()</f>
        <v>0</v>
      </c>
      <c r="C5" t="s">
        <v>187</v>
      </c>
      <c r="D5" s="11">
        <v>1000</v>
      </c>
    </row>
    <row r="6" spans="1:6" x14ac:dyDescent="0.25">
      <c r="A6" s="24" t="b">
        <f>FALSE()</f>
        <v>0</v>
      </c>
      <c r="C6" t="s">
        <v>188</v>
      </c>
      <c r="D6" s="11">
        <v>8500</v>
      </c>
    </row>
    <row r="7" spans="1:6" x14ac:dyDescent="0.25">
      <c r="A7" s="24" t="b">
        <f>FALSE()</f>
        <v>0</v>
      </c>
      <c r="C7" t="s">
        <v>189</v>
      </c>
      <c r="D7" s="11">
        <v>1000</v>
      </c>
    </row>
    <row r="8" spans="1:6" x14ac:dyDescent="0.25">
      <c r="A8" s="24" t="b">
        <f>FALSE()</f>
        <v>0</v>
      </c>
      <c r="C8" t="s">
        <v>190</v>
      </c>
      <c r="D8" s="11">
        <v>400</v>
      </c>
    </row>
    <row r="9" spans="1:6" x14ac:dyDescent="0.25">
      <c r="A9" s="24" t="b">
        <f>FALSE()</f>
        <v>0</v>
      </c>
      <c r="C9" t="s">
        <v>191</v>
      </c>
      <c r="D9" s="11">
        <v>1000</v>
      </c>
    </row>
    <row r="10" spans="1:6" x14ac:dyDescent="0.25">
      <c r="A10" s="24" t="b">
        <f>FALSE()</f>
        <v>0</v>
      </c>
      <c r="C10" t="s">
        <v>192</v>
      </c>
      <c r="D10" s="11">
        <v>140</v>
      </c>
    </row>
    <row r="11" spans="1:6" x14ac:dyDescent="0.25">
      <c r="A11" s="24" t="b">
        <f>FALSE()</f>
        <v>0</v>
      </c>
      <c r="C11" t="s">
        <v>193</v>
      </c>
      <c r="D11" s="11">
        <v>2450</v>
      </c>
    </row>
    <row r="12" spans="1:6" x14ac:dyDescent="0.25">
      <c r="A12" s="24" t="b">
        <f>FALSE()</f>
        <v>0</v>
      </c>
      <c r="C12" t="s">
        <v>194</v>
      </c>
      <c r="D12" s="11">
        <v>179</v>
      </c>
    </row>
    <row r="13" spans="1:6" x14ac:dyDescent="0.25">
      <c r="A13" s="24" t="b">
        <f>FALSE()</f>
        <v>0</v>
      </c>
      <c r="C13" t="s">
        <v>195</v>
      </c>
      <c r="D13" s="11">
        <v>75</v>
      </c>
    </row>
    <row r="15" spans="1:6" x14ac:dyDescent="0.25">
      <c r="C15" s="1" t="s">
        <v>196</v>
      </c>
      <c r="D15" s="13">
        <f>SUM(D2:D13)</f>
        <v>18744</v>
      </c>
    </row>
    <row r="16" spans="1:6" x14ac:dyDescent="0.25">
      <c r="C16" s="28" t="s">
        <v>197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6" customWidth="1"/>
    <col min="3" max="4" width="5" customWidth="1"/>
    <col min="5" max="5" width="8" customWidth="1"/>
    <col min="6" max="6" width="10" customWidth="1"/>
    <col min="7" max="7" width="5" customWidth="1"/>
    <col min="8" max="8" width="8" customWidth="1"/>
    <col min="9" max="10" width="12" customWidth="1"/>
  </cols>
  <sheetData>
    <row r="1" spans="1:10" ht="18" x14ac:dyDescent="0.25">
      <c r="A1" s="29" t="s">
        <v>198</v>
      </c>
    </row>
    <row r="4" spans="1:10" x14ac:dyDescent="0.25">
      <c r="H4" s="30" t="s">
        <v>199</v>
      </c>
    </row>
    <row r="5" spans="1:10" x14ac:dyDescent="0.25">
      <c r="B5" s="1" t="s">
        <v>200</v>
      </c>
      <c r="E5" s="31">
        <f>IFERROR(F10/B10,0)</f>
        <v>0</v>
      </c>
      <c r="I5" t="s">
        <v>201</v>
      </c>
      <c r="J5" t="s">
        <v>202</v>
      </c>
    </row>
    <row r="10" spans="1:10" x14ac:dyDescent="0.25">
      <c r="B10" s="12">
        <v>35000</v>
      </c>
      <c r="F10">
        <v>0</v>
      </c>
    </row>
    <row r="11" spans="1:10" x14ac:dyDescent="0.25">
      <c r="B11" t="s">
        <v>203</v>
      </c>
      <c r="D11" s="26">
        <v>46331</v>
      </c>
      <c r="F11" s="11">
        <f>B10-F10</f>
        <v>35000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Oct 2026</vt:lpstr>
      <vt:lpstr>Category Map</vt:lpstr>
      <vt:lpstr>Diagnosis</vt:lpstr>
      <vt:lpstr>Goals</vt:lpstr>
      <vt:lpstr>Order of Stuff to buy</vt:lpstr>
      <vt:lpstr>PLANNED GASTOS</vt:lpstr>
      <vt:lpstr>Savings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Honey T. Flores</cp:lastModifiedBy>
  <cp:revision>0</cp:revision>
  <dcterms:created xsi:type="dcterms:W3CDTF">2026-10-13T19:36:19Z</dcterms:created>
  <dcterms:modified xsi:type="dcterms:W3CDTF">2026-10-13T20:59:01Z</dcterms:modified>
  <dc:language>en-US</dc:language>
</cp:coreProperties>
</file>