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3"/>
    <sheet name="Oct 2026" sheetId="2" state="visible" r:id="rId4"/>
    <sheet name="Category Map" sheetId="3" state="visible" r:id="rId5"/>
    <sheet name="Diagnosis" sheetId="4" state="visible" r:id="rId6"/>
    <sheet name="Goals" sheetId="5" state="visible" r:id="rId7"/>
    <sheet name="Order of Stuff to buy" sheetId="6" state="visible" r:id="rId8"/>
    <sheet name="PLANNED GASTOS" sheetId="7" state="visible" r:id="rId9"/>
    <sheet name="Savings 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<sst xmlns="http://schemas.openxmlformats.org/spreadsheetml/2006/main" count="376" uniqueCount="233">
  <si>
    <t xml:space="preserve">Budget Diagnosis Tracker — What Changed</t>
  </si>
  <si>
    <t xml:space="preserve">WHAT THIS WORKBOOK IS</t>
  </si>
  <si>
    <t xml:space="preserve">This is a cleaned-up version of the budget tracker, focused on the Diagnosis workflow:</t>
  </si>
  <si>
    <t xml:space="preserve">turning a raw daily transaction log into a needs/wants spending diagnosis, automatically.</t>
  </si>
  <si>
    <t xml:space="preserve">THE ORIGINAL PROBLEM</t>
  </si>
  <si>
    <t xml:space="preserve">'Diagnosis' column C (Current Amount) was typed in by hand each month, copied over from</t>
  </si>
  <si>
    <t xml:space="preserve">whatever the raw log added up to. That's slow and error-prone across dozens of monthly tabs,</t>
  </si>
  <si>
    <t xml:space="preserve">and the numbers can drift out of sync with the actual log.</t>
  </si>
  <si>
    <t xml:space="preserve">WHAT I CHANGED</t>
  </si>
  <si>
    <t xml:space="preserve">1. Added a 'Category Map' tab: a lookup table matching each Diagnosis line to the exact</t>
  </si>
  <si>
    <t xml:space="preserve">   category text used in the raw log (e.g. 'Groceries' -&gt; 'NEEDS/Groceries').</t>
  </si>
  <si>
    <t xml:space="preserve">2. Rewrote Diagnosis column C with VLOOKUP + SUMIFS: VLOOKUP finds each line's matching raw-log</t>
  </si>
  <si>
    <t xml:space="preserve">   category from the map, then SUMIFS totals every transaction tagged with that category.</t>
  </si>
  <si>
    <t xml:space="preserve">   Update a day's spending in 'Oct 2026' and Diagnosis recalculates on its own.</t>
  </si>
  <si>
    <t xml:space="preserve">3. Added 4 Diagnosis lines that existed in the raw log but were missing from the original</t>
  </si>
  <si>
    <t xml:space="preserve">   taxonomy: House Improvement, Shopping, Personal Transportation, and Membership/Software</t>
  </si>
  <si>
    <t xml:space="preserve">   subscriptions (all Wants except Membership). Without these, roughly ₱4,400 of October</t>
  </si>
  <si>
    <t xml:space="preserve">   spending — about 29% of the month's actual total — had nowhere to land.</t>
  </si>
  <si>
    <t xml:space="preserve">4. Added a reconciliation check at the bottom of Diagnosis: Category Map total vs. the raw</t>
  </si>
  <si>
    <t xml:space="preserve">   log's own 'total of actual expenses' figure. They now match exactly.</t>
  </si>
  <si>
    <t xml:space="preserve">5. Found and fixed a real bug in 'Order of Stuff to buy': the TOTAL formula</t>
  </si>
  <si>
    <t xml:space="preserve">   (=SUMIF(F2:F21,"&gt;0")) was summing the DATE column, not the Estimated Price column — it</t>
  </si>
  <si>
    <t xml:space="preserve">   happened to return a plausible-looking number purely because date serial numbers and peso</t>
  </si>
  <si>
    <t xml:space="preserve">   amounts are both in the tens of thousands. Fixed to =SUM(E2:E21).</t>
  </si>
  <si>
    <t xml:space="preserve">6. Cleaned 'PLANNED GASTOS': removed a broken, disconnected pivot-table remnant and replaced</t>
  </si>
  <si>
    <t xml:space="preserve">   it with a working Total Planned formula.</t>
  </si>
  <si>
    <t xml:space="preserve">CELL COLOR KEY</t>
  </si>
  <si>
    <t xml:space="preserve">Yellow fill + blue text  =  type your number here (raw log entries, map additions)</t>
  </si>
  <si>
    <t xml:space="preserve">White fill + black text  =  calculated automatically, do not overwrite</t>
  </si>
  <si>
    <t xml:space="preserve">income:</t>
  </si>
  <si>
    <t xml:space="preserve">bal:</t>
  </si>
  <si>
    <t xml:space="preserve">expected:</t>
  </si>
  <si>
    <t xml:space="preserve">total of actual expenses:</t>
  </si>
  <si>
    <t xml:space="preserve">Checkbox</t>
  </si>
  <si>
    <t xml:space="preserve">Actual</t>
  </si>
  <si>
    <t xml:space="preserve">What was Paid</t>
  </si>
  <si>
    <t xml:space="preserve">Expected</t>
  </si>
  <si>
    <t xml:space="preserve">Date</t>
  </si>
  <si>
    <t xml:space="preserve">Type</t>
  </si>
  <si>
    <t xml:space="preserve">EF</t>
  </si>
  <si>
    <t xml:space="preserve">Emergency Funds</t>
  </si>
  <si>
    <t xml:space="preserve">W-Water</t>
  </si>
  <si>
    <t xml:space="preserve">NEEDS/Drinking Water</t>
  </si>
  <si>
    <t xml:space="preserve">Eggs &amp; Cream</t>
  </si>
  <si>
    <t xml:space="preserve">NEEDS/Groceries</t>
  </si>
  <si>
    <t xml:space="preserve">Delemondo + Yakult</t>
  </si>
  <si>
    <t xml:space="preserve">Brace Adj</t>
  </si>
  <si>
    <t xml:space="preserve">NEEDS/Healthcare</t>
  </si>
  <si>
    <t xml:space="preserve">Claude </t>
  </si>
  <si>
    <t xml:space="preserve">NEEDS/Membership</t>
  </si>
  <si>
    <t xml:space="preserve">Sinigang</t>
  </si>
  <si>
    <t xml:space="preserve">NEEDS/Palengke</t>
  </si>
  <si>
    <t xml:space="preserve">HeyDay (Fruits, Nutmeg, Pepper Corn)</t>
  </si>
  <si>
    <t xml:space="preserve">Oregano</t>
  </si>
  <si>
    <t xml:space="preserve">W-Sinigang Gulay</t>
  </si>
  <si>
    <t xml:space="preserve">Beef</t>
  </si>
  <si>
    <t xml:space="preserve">Potato + Onions</t>
  </si>
  <si>
    <t xml:space="preserve">Puto</t>
  </si>
  <si>
    <t xml:space="preserve">W-Pamasahe to Work</t>
  </si>
  <si>
    <t xml:space="preserve">NEEDS/TranspoWork</t>
  </si>
  <si>
    <t xml:space="preserve">W-Pamasahe from Work</t>
  </si>
  <si>
    <t xml:space="preserve">W-Pamasahe to Apt from Work</t>
  </si>
  <si>
    <t xml:space="preserve">Eggs</t>
  </si>
  <si>
    <t xml:space="preserve">WANTS/Eat Out</t>
  </si>
  <si>
    <t xml:space="preserve">W-Big Brew</t>
  </si>
  <si>
    <t xml:space="preserve">Citi Food</t>
  </si>
  <si>
    <t xml:space="preserve">Gatorade</t>
  </si>
  <si>
    <t xml:space="preserve">W-Shanghai</t>
  </si>
  <si>
    <t xml:space="preserve">W-Gata</t>
  </si>
  <si>
    <t xml:space="preserve">Turon</t>
  </si>
  <si>
    <t xml:space="preserve">Mister Donut</t>
  </si>
  <si>
    <t xml:space="preserve">Mister Donut Carbonara</t>
  </si>
  <si>
    <t xml:space="preserve">Starbucks Pumpkin Spice</t>
  </si>
  <si>
    <t xml:space="preserve">W-Binatog</t>
  </si>
  <si>
    <t xml:space="preserve">C2</t>
  </si>
  <si>
    <t xml:space="preserve">W-Tinapay</t>
  </si>
  <si>
    <t xml:space="preserve">W-Ice Cream</t>
  </si>
  <si>
    <t xml:space="preserve">W-Turon</t>
  </si>
  <si>
    <t xml:space="preserve">W-Choco Drink</t>
  </si>
  <si>
    <t xml:space="preserve">Jolibee</t>
  </si>
  <si>
    <t xml:space="preserve">Somu Niku</t>
  </si>
  <si>
    <t xml:space="preserve">Bar Halloween</t>
  </si>
  <si>
    <t xml:space="preserve">WANTS/Entertainment</t>
  </si>
  <si>
    <t xml:space="preserve">W-Photoline</t>
  </si>
  <si>
    <t xml:space="preserve">Carpet</t>
  </si>
  <si>
    <t xml:space="preserve">WANTS/House Improvement</t>
  </si>
  <si>
    <t xml:space="preserve">Plastic Tupperware</t>
  </si>
  <si>
    <t xml:space="preserve">Scoth Tape</t>
  </si>
  <si>
    <t xml:space="preserve">WiFi Installation</t>
  </si>
  <si>
    <t xml:space="preserve">Windows Seal</t>
  </si>
  <si>
    <t xml:space="preserve">Door Seal</t>
  </si>
  <si>
    <t xml:space="preserve">Suction Hook</t>
  </si>
  <si>
    <t xml:space="preserve">Vacuum</t>
  </si>
  <si>
    <t xml:space="preserve">Biya Liquid Eyebrow</t>
  </si>
  <si>
    <t xml:space="preserve">WANTS/Shopping</t>
  </si>
  <si>
    <t xml:space="preserve">Wig</t>
  </si>
  <si>
    <t xml:space="preserve">W-Mango</t>
  </si>
  <si>
    <t xml:space="preserve">W-Trans to Ayala</t>
  </si>
  <si>
    <t xml:space="preserve">WANTS/TranspoPersonal</t>
  </si>
  <si>
    <t xml:space="preserve">W-Trans to Alabang</t>
  </si>
  <si>
    <t xml:space="preserve">W-Jeep to Pasay</t>
  </si>
  <si>
    <t xml:space="preserve">W-Jeep to VTX</t>
  </si>
  <si>
    <t xml:space="preserve">Moveit to Home</t>
  </si>
  <si>
    <t xml:space="preserve">W-Pamasahe to SB</t>
  </si>
  <si>
    <t xml:space="preserve">W-Pamasahe to Apt</t>
  </si>
  <si>
    <t xml:space="preserve">CATEGORY MAP — links each Diagnosis line to its matching category in the raw log</t>
  </si>
  <si>
    <t xml:space="preserve">Diagnosis Label</t>
  </si>
  <si>
    <t xml:space="preserve">Matching Raw-Log Category (Type)</t>
  </si>
  <si>
    <t xml:space="preserve">Note</t>
  </si>
  <si>
    <t xml:space="preserve">Housing: Rent / Mortgage</t>
  </si>
  <si>
    <t xml:space="preserve">NEEDS/HousingRent</t>
  </si>
  <si>
    <t xml:space="preserve">Kuryente</t>
  </si>
  <si>
    <t xml:space="preserve">NEEDS/Electric</t>
  </si>
  <si>
    <t xml:space="preserve">Tubig </t>
  </si>
  <si>
    <t xml:space="preserve">NEEDS/Water</t>
  </si>
  <si>
    <t xml:space="preserve">Internet</t>
  </si>
  <si>
    <t xml:space="preserve">NEEDS/Internet</t>
  </si>
  <si>
    <t xml:space="preserve">Drinking water</t>
  </si>
  <si>
    <t xml:space="preserve">Groceries</t>
  </si>
  <si>
    <t xml:space="preserve">Palengke</t>
  </si>
  <si>
    <t xml:space="preserve">Transportation to Work</t>
  </si>
  <si>
    <t xml:space="preserve">Healthcare</t>
  </si>
  <si>
    <t xml:space="preserve">Education</t>
  </si>
  <si>
    <t xml:space="preserve">NEEDS/Education</t>
  </si>
  <si>
    <t xml:space="preserve">Communication: Prepaid </t>
  </si>
  <si>
    <t xml:space="preserve">NEEDS/Communication</t>
  </si>
  <si>
    <t xml:space="preserve">Clothing</t>
  </si>
  <si>
    <t xml:space="preserve">NEEDS/Clothing</t>
  </si>
  <si>
    <t xml:space="preserve">Debt Payment</t>
  </si>
  <si>
    <t xml:space="preserve">NEEDS/Debt</t>
  </si>
  <si>
    <t xml:space="preserve">Entertainment</t>
  </si>
  <si>
    <t xml:space="preserve">Special Occasions</t>
  </si>
  <si>
    <t xml:space="preserve">WANTS/Special Occasions</t>
  </si>
  <si>
    <t xml:space="preserve">Government Contributions</t>
  </si>
  <si>
    <t xml:space="preserve">NEEDS/Government</t>
  </si>
  <si>
    <t xml:space="preserve">Emergency Fund</t>
  </si>
  <si>
    <t xml:space="preserve">Log uses 'Emergency Funds' (no Needs/Wants prefix) — mapped as-is</t>
  </si>
  <si>
    <t xml:space="preserve">Netflix Subscription</t>
  </si>
  <si>
    <t xml:space="preserve">WANTS/Netflix</t>
  </si>
  <si>
    <t xml:space="preserve">Youtube Premium</t>
  </si>
  <si>
    <t xml:space="preserve">WANTS/Youtube</t>
  </si>
  <si>
    <t xml:space="preserve">subcription icloud</t>
  </si>
  <si>
    <t xml:space="preserve">WANTS/iCloud</t>
  </si>
  <si>
    <t xml:space="preserve">Apple Music</t>
  </si>
  <si>
    <t xml:space="preserve">WANTS/Apple Music</t>
  </si>
  <si>
    <t xml:space="preserve">disney</t>
  </si>
  <si>
    <t xml:space="preserve">WANTS/Disney</t>
  </si>
  <si>
    <t xml:space="preserve">Dine out</t>
  </si>
  <si>
    <t xml:space="preserve">Diagnosis said 'Dine out', the log calls it 'Eat Out' — mapped across the naming mismatch</t>
  </si>
  <si>
    <t xml:space="preserve">Loan</t>
  </si>
  <si>
    <t xml:space="preserve">NEEDS/Loan</t>
  </si>
  <si>
    <t xml:space="preserve">Internet Install</t>
  </si>
  <si>
    <t xml:space="preserve">NEEDS/Internet Install</t>
  </si>
  <si>
    <t xml:space="preserve">The log's Oct WiFi install fee was tagged House Improvement instead — see that line</t>
  </si>
  <si>
    <t xml:space="preserve">House Improvement (Wants)</t>
  </si>
  <si>
    <t xml:space="preserve">NEW — found in the log, had no Diagnosis line before</t>
  </si>
  <si>
    <t xml:space="preserve">Shopping (Wants)</t>
  </si>
  <si>
    <t xml:space="preserve">Transportation (Personal, Wants)</t>
  </si>
  <si>
    <t xml:space="preserve">Membership / Software Subscriptions</t>
  </si>
  <si>
    <t xml:space="preserve">Monthly Income (Malinis na)</t>
  </si>
  <si>
    <t xml:space="preserve">DIAGNOSIS</t>
  </si>
  <si>
    <t xml:space="preserve">Suweldo (First cut off)</t>
  </si>
  <si>
    <t xml:space="preserve">Total Monthly Income</t>
  </si>
  <si>
    <t xml:space="preserve">Suweldo (Second cut off)</t>
  </si>
  <si>
    <t xml:space="preserve">Current Monthly Spend</t>
  </si>
  <si>
    <t xml:space="preserve">Suweldo (Third cut off)</t>
  </si>
  <si>
    <t xml:space="preserve">Available Cash to Spend</t>
  </si>
  <si>
    <t xml:space="preserve">Suweldo (Fourth cut off)</t>
  </si>
  <si>
    <t xml:space="preserve">Potential Savings from Cuts</t>
  </si>
  <si>
    <t xml:space="preserve">Extra Income (Fixed or Average)</t>
  </si>
  <si>
    <t xml:space="preserve">UPDATED: Available cash to spend</t>
  </si>
  <si>
    <t xml:space="preserve">after adjusting your expenses</t>
  </si>
  <si>
    <t xml:space="preserve">Expenses</t>
  </si>
  <si>
    <t xml:space="preserve">Current Amount</t>
  </si>
  <si>
    <t xml:space="preserve">Fixed or Variable</t>
  </si>
  <si>
    <t xml:space="preserve">Need or Want</t>
  </si>
  <si>
    <t xml:space="preserve">% Income</t>
  </si>
  <si>
    <t xml:space="preserve">New Monthly Budget</t>
  </si>
  <si>
    <t xml:space="preserve">Monthly Amount Freed</t>
  </si>
  <si>
    <t xml:space="preserve">Fixed</t>
  </si>
  <si>
    <t xml:space="preserve">Need</t>
  </si>
  <si>
    <t xml:space="preserve">Variable</t>
  </si>
  <si>
    <t xml:space="preserve">Want</t>
  </si>
  <si>
    <t xml:space="preserve">Total</t>
  </si>
  <si>
    <t xml:space="preserve">Reconciliation check:</t>
  </si>
  <si>
    <t xml:space="preserve">YOUR SAVINGS GOAL</t>
  </si>
  <si>
    <t xml:space="preserve">Savings goal amount</t>
  </si>
  <si>
    <t xml:space="preserve">Already saved toward this goal</t>
  </si>
  <si>
    <t xml:space="preserve">SAVINGS GAP</t>
  </si>
  <si>
    <t xml:space="preserve">Target date</t>
  </si>
  <si>
    <t xml:space="preserve">sept 30</t>
  </si>
  <si>
    <t xml:space="preserve">No. of cutoff until target</t>
  </si>
  <si>
    <t xml:space="preserve">Sweldo days per month</t>
  </si>
  <si>
    <t xml:space="preserve">SAVINGS NEEDED PER SWELDO DAY</t>
  </si>
  <si>
    <t xml:space="preserve">Monthly savings pace</t>
  </si>
  <si>
    <t xml:space="preserve">#</t>
  </si>
  <si>
    <t xml:space="preserve">Confirmed?</t>
  </si>
  <si>
    <t xml:space="preserve">Plan/Things to Avail this 2026</t>
  </si>
  <si>
    <t xml:space="preserve">Estimated Price</t>
  </si>
  <si>
    <t xml:space="preserve">Assuming Date</t>
  </si>
  <si>
    <t xml:space="preserve">TAC-09CWI/UB2 Aircon (TLC)</t>
  </si>
  <si>
    <t xml:space="preserve">Smart 5G Max Home WiFi</t>
  </si>
  <si>
    <t xml:space="preserve">Teeth Opera</t>
  </si>
  <si>
    <t xml:space="preserve">Steel Cabinet</t>
  </si>
  <si>
    <t xml:space="preserve">Sony Camera</t>
  </si>
  <si>
    <t xml:space="preserve">Hodekt Mini Washing Machine</t>
  </si>
  <si>
    <t xml:space="preserve">Shark Hydrovac Vacuum</t>
  </si>
  <si>
    <t xml:space="preserve">Carpet/Rugs</t>
  </si>
  <si>
    <t xml:space="preserve">Sofa</t>
  </si>
  <si>
    <t xml:space="preserve">Bedframe</t>
  </si>
  <si>
    <t xml:space="preserve">Trip to Cebu</t>
  </si>
  <si>
    <t xml:space="preserve">Trip to Vietnam</t>
  </si>
  <si>
    <t xml:space="preserve">TOTAL:</t>
  </si>
  <si>
    <t xml:space="preserve">Fixed: was =SUMIF(F2:F21,"&gt;0") which summed the DATE column by coincidence.</t>
  </si>
  <si>
    <t xml:space="preserve">savings</t>
  </si>
  <si>
    <t xml:space="preserve">Foods</t>
  </si>
  <si>
    <t xml:space="preserve">Brace</t>
  </si>
  <si>
    <t xml:space="preserve">Apt Rent</t>
  </si>
  <si>
    <t xml:space="preserve">Electric Bill</t>
  </si>
  <si>
    <t xml:space="preserve">Wi-Fi Bill</t>
  </si>
  <si>
    <t xml:space="preserve">Transpo to Work</t>
  </si>
  <si>
    <t xml:space="preserve">Water Bill</t>
  </si>
  <si>
    <t xml:space="preserve">Gym</t>
  </si>
  <si>
    <t xml:space="preserve">icloud</t>
  </si>
  <si>
    <t xml:space="preserve">apple music</t>
  </si>
  <si>
    <t xml:space="preserve">Total Planned:</t>
  </si>
  <si>
    <t xml:space="preserve">Removed: a disconnected pivot-table remnant that showed a hardcoded 0.</t>
  </si>
  <si>
    <t xml:space="preserve">Savings Tracker</t>
  </si>
  <si>
    <t xml:space="preserve">Emergency Funds Tracker</t>
  </si>
  <si>
    <t xml:space="preserve">EMERGENCY FUNDS</t>
  </si>
  <si>
    <t xml:space="preserve">Amount</t>
  </si>
  <si>
    <t xml:space="preserve">From</t>
  </si>
  <si>
    <t xml:space="preserve">Due: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</si>
</sst>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General"/>
    <numFmt numFmtId="167" formatCode="mm/dd/yyyy"/>
    <numFmt numFmtId="168" formatCode="0.0%"/>
    <numFmt numFmtId="169" formatCode="0"/>
    <numFmt numFmtId="170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2A44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i val="true"/>
      <sz val="8"/>
      <color rgb="FF9C0006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4"/>
      <color rgb="FF1F2A4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333333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2A4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22.0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1</v>
      </c>
    </row>
    <row r="5" customFormat="false" ht="15" hidden="false" customHeight="false" outlineLevel="0" collapsed="false">
      <c r="A5" s="2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4</v>
      </c>
    </row>
    <row r="9" customFormat="false" ht="15" hidden="false" customHeight="false" outlineLevel="0" collapsed="false">
      <c r="A9" s="2" t="s">
        <v>5</v>
      </c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8</v>
      </c>
    </row>
    <row r="14" customFormat="false" ht="15" hidden="false" customHeight="false" outlineLevel="0" collapsed="false">
      <c r="A14" s="2" t="s">
        <v>9</v>
      </c>
    </row>
    <row r="15" customFormat="false" ht="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/>
    </row>
    <row r="32" customFormat="false" ht="15" hidden="false" customHeight="false" outlineLevel="0" collapsed="false">
      <c r="A32" s="3" t="s">
        <v>26</v>
      </c>
    </row>
    <row r="33" customFormat="false" ht="15" hidden="false" customHeight="false" outlineLevel="0" collapsed="false">
      <c r="A33" s="2" t="s">
        <v>27</v>
      </c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15" hidden="false" customHeight="false" outlineLevel="0" collapsed="false">
      <c r="C1" s="4" t="s">
        <v>29</v>
      </c>
      <c r="D1" s="5" t="n">
        <v>15609.62</v>
      </c>
    </row>
    <row r="2" customFormat="false" ht="15" hidden="false" customHeight="false" outlineLevel="0" collapsed="false">
      <c r="C2" s="4" t="s">
        <v>30</v>
      </c>
      <c r="D2" s="6" t="n">
        <v>214.14</v>
      </c>
    </row>
    <row r="3" customFormat="false" ht="15" hidden="false" customHeight="false" outlineLevel="0" collapsed="false">
      <c r="C3" s="4" t="s">
        <v>31</v>
      </c>
      <c r="D3" s="6" t="n">
        <v>8500</v>
      </c>
    </row>
    <row r="4" customFormat="false" ht="15" hidden="false" customHeight="false" outlineLevel="0" collapsed="false">
      <c r="C4" s="4" t="s">
        <v>32</v>
      </c>
      <c r="D4" s="5" t="n">
        <f aca="false">SUM(B8:B67)</f>
        <v>15395.48</v>
      </c>
    </row>
    <row r="7" customFormat="false" ht="15" hidden="false" customHeight="false" outlineLevel="0" collapsed="false">
      <c r="A7" s="7" t="s">
        <v>33</v>
      </c>
      <c r="B7" s="7" t="s">
        <v>34</v>
      </c>
      <c r="C7" s="7" t="s">
        <v>35</v>
      </c>
      <c r="D7" s="7" t="s">
        <v>36</v>
      </c>
      <c r="E7" s="7" t="s">
        <v>37</v>
      </c>
      <c r="F7" s="7" t="s">
        <v>38</v>
      </c>
    </row>
    <row r="8" customFormat="false" ht="15" hidden="false" customHeight="false" outlineLevel="0" collapsed="false">
      <c r="A8" s="8" t="b">
        <f aca="false">TRUE()</f>
        <v>1</v>
      </c>
      <c r="B8" s="9" t="n">
        <v>5000</v>
      </c>
      <c r="C8" s="10" t="s">
        <v>39</v>
      </c>
      <c r="D8" s="11" t="n">
        <v>5000</v>
      </c>
      <c r="E8" s="12" t="n">
        <v>46300</v>
      </c>
      <c r="F8" s="10" t="s">
        <v>40</v>
      </c>
    </row>
    <row r="9" customFormat="false" ht="15" hidden="false" customHeight="false" outlineLevel="0" collapsed="false">
      <c r="A9" s="8" t="b">
        <f aca="false">TRUE()</f>
        <v>1</v>
      </c>
      <c r="B9" s="9" t="n">
        <v>40</v>
      </c>
      <c r="C9" s="10" t="s">
        <v>41</v>
      </c>
      <c r="D9" s="13"/>
      <c r="E9" s="12" t="n">
        <v>46306</v>
      </c>
      <c r="F9" s="10" t="s">
        <v>42</v>
      </c>
    </row>
    <row r="10" customFormat="false" ht="15" hidden="false" customHeight="false" outlineLevel="0" collapsed="false">
      <c r="A10" s="8" t="b">
        <f aca="false">TRUE()</f>
        <v>1</v>
      </c>
      <c r="B10" s="9" t="n">
        <v>196</v>
      </c>
      <c r="C10" s="10" t="s">
        <v>43</v>
      </c>
      <c r="D10" s="13"/>
      <c r="E10" s="12" t="n">
        <v>46300</v>
      </c>
      <c r="F10" s="10" t="s">
        <v>44</v>
      </c>
    </row>
    <row r="11" customFormat="false" ht="15" hidden="false" customHeight="false" outlineLevel="0" collapsed="false">
      <c r="A11" s="8" t="b">
        <f aca="false">TRUE()</f>
        <v>1</v>
      </c>
      <c r="B11" s="9" t="n">
        <v>233.5</v>
      </c>
      <c r="C11" s="10" t="s">
        <v>45</v>
      </c>
      <c r="D11" s="13"/>
      <c r="E11" s="12" t="n">
        <v>46300</v>
      </c>
      <c r="F11" s="10" t="s">
        <v>44</v>
      </c>
    </row>
    <row r="12" customFormat="false" ht="15" hidden="false" customHeight="false" outlineLevel="0" collapsed="false">
      <c r="A12" s="8" t="b">
        <f aca="false">TRUE()</f>
        <v>1</v>
      </c>
      <c r="B12" s="9" t="n">
        <v>1000</v>
      </c>
      <c r="C12" s="10" t="s">
        <v>46</v>
      </c>
      <c r="D12" s="11" t="n">
        <v>1000</v>
      </c>
      <c r="E12" s="12" t="n">
        <v>46300</v>
      </c>
      <c r="F12" s="10" t="s">
        <v>47</v>
      </c>
    </row>
    <row r="13" customFormat="false" ht="15" hidden="false" customHeight="false" outlineLevel="0" collapsed="false">
      <c r="A13" s="8" t="b">
        <f aca="false">TRUE()</f>
        <v>1</v>
      </c>
      <c r="B13" s="9" t="n">
        <v>714.78</v>
      </c>
      <c r="C13" s="10" t="s">
        <v>48</v>
      </c>
      <c r="D13" s="13"/>
      <c r="E13" s="12" t="n">
        <v>46302</v>
      </c>
      <c r="F13" s="10" t="s">
        <v>49</v>
      </c>
    </row>
    <row r="14" customFormat="false" ht="15" hidden="false" customHeight="false" outlineLevel="0" collapsed="false">
      <c r="A14" s="8" t="b">
        <f aca="false">TRUE()</f>
        <v>1</v>
      </c>
      <c r="B14" s="9" t="n">
        <v>385.87</v>
      </c>
      <c r="C14" s="10" t="s">
        <v>50</v>
      </c>
      <c r="D14" s="13"/>
      <c r="E14" s="12" t="n">
        <v>46303</v>
      </c>
      <c r="F14" s="10" t="s">
        <v>51</v>
      </c>
    </row>
    <row r="15" customFormat="false" ht="15" hidden="false" customHeight="false" outlineLevel="0" collapsed="false">
      <c r="A15" s="8" t="b">
        <f aca="false">TRUE()</f>
        <v>1</v>
      </c>
      <c r="B15" s="9" t="n">
        <v>203.73</v>
      </c>
      <c r="C15" s="10" t="s">
        <v>52</v>
      </c>
      <c r="D15" s="13"/>
      <c r="E15" s="12" t="n">
        <v>46304</v>
      </c>
      <c r="F15" s="10" t="s">
        <v>51</v>
      </c>
    </row>
    <row r="16" customFormat="false" ht="15" hidden="false" customHeight="false" outlineLevel="0" collapsed="false">
      <c r="A16" s="8" t="b">
        <f aca="false">TRUE()</f>
        <v>1</v>
      </c>
      <c r="B16" s="9" t="n">
        <v>48.2</v>
      </c>
      <c r="C16" s="10" t="s">
        <v>53</v>
      </c>
      <c r="D16" s="13"/>
      <c r="E16" s="12" t="n">
        <v>46304</v>
      </c>
      <c r="F16" s="10" t="s">
        <v>51</v>
      </c>
    </row>
    <row r="17" customFormat="false" ht="15" hidden="false" customHeight="false" outlineLevel="0" collapsed="false">
      <c r="A17" s="8" t="b">
        <f aca="false">TRUE()</f>
        <v>1</v>
      </c>
      <c r="B17" s="9" t="n">
        <v>145</v>
      </c>
      <c r="C17" s="10" t="s">
        <v>54</v>
      </c>
      <c r="D17" s="13"/>
      <c r="E17" s="12" t="n">
        <v>46304</v>
      </c>
      <c r="F17" s="10" t="s">
        <v>51</v>
      </c>
    </row>
    <row r="18" customFormat="false" ht="15" hidden="false" customHeight="false" outlineLevel="0" collapsed="false">
      <c r="A18" s="8" t="b">
        <f aca="false">TRUE()</f>
        <v>1</v>
      </c>
      <c r="B18" s="9" t="n">
        <v>25</v>
      </c>
      <c r="C18" s="10" t="s">
        <v>54</v>
      </c>
      <c r="D18" s="13"/>
      <c r="E18" s="12" t="n">
        <v>46304</v>
      </c>
      <c r="F18" s="10" t="s">
        <v>51</v>
      </c>
    </row>
    <row r="19" customFormat="false" ht="15" hidden="false" customHeight="false" outlineLevel="0" collapsed="false">
      <c r="A19" s="8" t="b">
        <f aca="false">TRUE()</f>
        <v>1</v>
      </c>
      <c r="B19" s="9" t="n">
        <v>220</v>
      </c>
      <c r="C19" s="10" t="s">
        <v>55</v>
      </c>
      <c r="D19" s="13"/>
      <c r="E19" s="12" t="n">
        <v>46306</v>
      </c>
      <c r="F19" s="10" t="s">
        <v>51</v>
      </c>
    </row>
    <row r="20" customFormat="false" ht="15" hidden="false" customHeight="false" outlineLevel="0" collapsed="false">
      <c r="A20" s="8" t="b">
        <f aca="false">TRUE()</f>
        <v>1</v>
      </c>
      <c r="B20" s="9" t="n">
        <v>40</v>
      </c>
      <c r="C20" s="10" t="s">
        <v>56</v>
      </c>
      <c r="D20" s="13"/>
      <c r="E20" s="12" t="n">
        <v>46306</v>
      </c>
      <c r="F20" s="10" t="s">
        <v>51</v>
      </c>
    </row>
    <row r="21" customFormat="false" ht="15" hidden="false" customHeight="false" outlineLevel="0" collapsed="false">
      <c r="A21" s="8" t="b">
        <f aca="false">TRUE()</f>
        <v>1</v>
      </c>
      <c r="B21" s="9" t="n">
        <v>38</v>
      </c>
      <c r="C21" s="10" t="s">
        <v>56</v>
      </c>
      <c r="D21" s="13"/>
      <c r="E21" s="12" t="n">
        <v>46307</v>
      </c>
      <c r="F21" s="10" t="s">
        <v>51</v>
      </c>
    </row>
    <row r="22" customFormat="false" ht="15" hidden="false" customHeight="false" outlineLevel="0" collapsed="false">
      <c r="A22" s="8" t="b">
        <f aca="false">TRUE()</f>
        <v>1</v>
      </c>
      <c r="B22" s="9" t="n">
        <v>100</v>
      </c>
      <c r="C22" s="10" t="s">
        <v>57</v>
      </c>
      <c r="D22" s="13"/>
      <c r="E22" s="12" t="n">
        <v>46307</v>
      </c>
      <c r="F22" s="10" t="s">
        <v>51</v>
      </c>
    </row>
    <row r="23" customFormat="false" ht="15" hidden="false" customHeight="false" outlineLevel="0" collapsed="false">
      <c r="A23" s="8" t="b">
        <f aca="false">TRUE()</f>
        <v>1</v>
      </c>
      <c r="B23" s="9" t="n">
        <v>40</v>
      </c>
      <c r="C23" s="10" t="s">
        <v>58</v>
      </c>
      <c r="D23" s="13"/>
      <c r="E23" s="12" t="n">
        <v>46304</v>
      </c>
      <c r="F23" s="10" t="s">
        <v>59</v>
      </c>
    </row>
    <row r="24" customFormat="false" ht="15" hidden="false" customHeight="false" outlineLevel="0" collapsed="false">
      <c r="A24" s="8" t="b">
        <f aca="false">TRUE()</f>
        <v>1</v>
      </c>
      <c r="B24" s="9" t="n">
        <v>40</v>
      </c>
      <c r="C24" s="10" t="s">
        <v>60</v>
      </c>
      <c r="D24" s="13"/>
      <c r="E24" s="12" t="n">
        <v>46305</v>
      </c>
      <c r="F24" s="10" t="s">
        <v>59</v>
      </c>
    </row>
    <row r="25" customFormat="false" ht="15" hidden="false" customHeight="false" outlineLevel="0" collapsed="false">
      <c r="A25" s="8" t="b">
        <f aca="false">TRUE()</f>
        <v>1</v>
      </c>
      <c r="B25" s="9" t="n">
        <v>26</v>
      </c>
      <c r="C25" s="10" t="s">
        <v>61</v>
      </c>
      <c r="D25" s="13"/>
      <c r="E25" s="12" t="n">
        <v>46305</v>
      </c>
      <c r="F25" s="10" t="s">
        <v>59</v>
      </c>
    </row>
    <row r="26" customFormat="false" ht="15" hidden="false" customHeight="false" outlineLevel="0" collapsed="false">
      <c r="A26" s="8" t="b">
        <f aca="false">TRUE()</f>
        <v>1</v>
      </c>
      <c r="B26" s="9" t="n">
        <v>15</v>
      </c>
      <c r="C26" s="10" t="s">
        <v>62</v>
      </c>
      <c r="D26" s="13"/>
      <c r="E26" s="12" t="n">
        <v>46300</v>
      </c>
      <c r="F26" s="10" t="s">
        <v>63</v>
      </c>
    </row>
    <row r="27" customFormat="false" ht="15" hidden="false" customHeight="false" outlineLevel="0" collapsed="false">
      <c r="A27" s="8" t="b">
        <f aca="false">TRUE()</f>
        <v>1</v>
      </c>
      <c r="B27" s="9" t="n">
        <v>38</v>
      </c>
      <c r="C27" s="10" t="s">
        <v>64</v>
      </c>
      <c r="D27" s="13"/>
      <c r="E27" s="12" t="n">
        <v>46301</v>
      </c>
      <c r="F27" s="10" t="s">
        <v>63</v>
      </c>
    </row>
    <row r="28" customFormat="false" ht="15" hidden="false" customHeight="false" outlineLevel="0" collapsed="false">
      <c r="A28" s="8" t="b">
        <f aca="false">TRUE()</f>
        <v>1</v>
      </c>
      <c r="B28" s="9" t="n">
        <v>95</v>
      </c>
      <c r="C28" s="10" t="s">
        <v>65</v>
      </c>
      <c r="D28" s="13"/>
      <c r="E28" s="12" t="n">
        <v>46301</v>
      </c>
      <c r="F28" s="10" t="s">
        <v>63</v>
      </c>
    </row>
    <row r="29" customFormat="false" ht="15" hidden="false" customHeight="false" outlineLevel="0" collapsed="false">
      <c r="A29" s="8" t="b">
        <f aca="false">TRUE()</f>
        <v>1</v>
      </c>
      <c r="B29" s="9" t="n">
        <v>63</v>
      </c>
      <c r="C29" s="10" t="s">
        <v>66</v>
      </c>
      <c r="D29" s="13"/>
      <c r="E29" s="12" t="n">
        <v>46302</v>
      </c>
      <c r="F29" s="10" t="s">
        <v>63</v>
      </c>
    </row>
    <row r="30" customFormat="false" ht="15" hidden="false" customHeight="false" outlineLevel="0" collapsed="false">
      <c r="A30" s="8" t="b">
        <f aca="false">TRUE()</f>
        <v>1</v>
      </c>
      <c r="B30" s="9" t="n">
        <v>74</v>
      </c>
      <c r="C30" s="10" t="s">
        <v>67</v>
      </c>
      <c r="D30" s="13"/>
      <c r="E30" s="12" t="n">
        <v>46302</v>
      </c>
      <c r="F30" s="10" t="s">
        <v>63</v>
      </c>
    </row>
    <row r="31" customFormat="false" ht="15" hidden="false" customHeight="false" outlineLevel="0" collapsed="false">
      <c r="A31" s="8" t="b">
        <f aca="false">TRUE()</f>
        <v>1</v>
      </c>
      <c r="B31" s="9" t="n">
        <v>189</v>
      </c>
      <c r="C31" s="10" t="s">
        <v>68</v>
      </c>
      <c r="D31" s="13"/>
      <c r="E31" s="12" t="n">
        <v>46302</v>
      </c>
      <c r="F31" s="10" t="s">
        <v>63</v>
      </c>
    </row>
    <row r="32" customFormat="false" ht="15" hidden="false" customHeight="false" outlineLevel="0" collapsed="false">
      <c r="A32" s="8" t="b">
        <f aca="false">TRUE()</f>
        <v>1</v>
      </c>
      <c r="B32" s="9" t="n">
        <v>30</v>
      </c>
      <c r="C32" s="10" t="s">
        <v>69</v>
      </c>
      <c r="D32" s="13"/>
      <c r="E32" s="12" t="n">
        <v>46302</v>
      </c>
      <c r="F32" s="10" t="s">
        <v>63</v>
      </c>
    </row>
    <row r="33" customFormat="false" ht="15" hidden="false" customHeight="false" outlineLevel="0" collapsed="false">
      <c r="A33" s="8" t="b">
        <f aca="false">TRUE()</f>
        <v>1</v>
      </c>
      <c r="B33" s="9" t="n">
        <v>290</v>
      </c>
      <c r="C33" s="10" t="s">
        <v>70</v>
      </c>
      <c r="D33" s="13"/>
      <c r="E33" s="12" t="n">
        <v>46302</v>
      </c>
      <c r="F33" s="10" t="s">
        <v>63</v>
      </c>
    </row>
    <row r="34" customFormat="false" ht="15" hidden="false" customHeight="false" outlineLevel="0" collapsed="false">
      <c r="A34" s="8" t="b">
        <f aca="false">TRUE()</f>
        <v>1</v>
      </c>
      <c r="B34" s="9" t="n">
        <v>100</v>
      </c>
      <c r="C34" s="10" t="s">
        <v>71</v>
      </c>
      <c r="D34" s="13"/>
      <c r="E34" s="12" t="n">
        <v>46302</v>
      </c>
      <c r="F34" s="10" t="s">
        <v>63</v>
      </c>
    </row>
    <row r="35" customFormat="false" ht="15" hidden="false" customHeight="false" outlineLevel="0" collapsed="false">
      <c r="A35" s="8" t="b">
        <f aca="false">TRUE()</f>
        <v>1</v>
      </c>
      <c r="B35" s="9" t="n">
        <v>215</v>
      </c>
      <c r="C35" s="10" t="s">
        <v>72</v>
      </c>
      <c r="D35" s="13"/>
      <c r="E35" s="12" t="n">
        <v>46302</v>
      </c>
      <c r="F35" s="10" t="s">
        <v>63</v>
      </c>
    </row>
    <row r="36" customFormat="false" ht="15" hidden="false" customHeight="false" outlineLevel="0" collapsed="false">
      <c r="A36" s="8" t="b">
        <f aca="false">TRUE()</f>
        <v>1</v>
      </c>
      <c r="B36" s="9" t="n">
        <v>40</v>
      </c>
      <c r="C36" s="10" t="s">
        <v>73</v>
      </c>
      <c r="D36" s="13"/>
      <c r="E36" s="12" t="n">
        <v>46304</v>
      </c>
      <c r="F36" s="10" t="s">
        <v>63</v>
      </c>
    </row>
    <row r="37" customFormat="false" ht="15" hidden="false" customHeight="false" outlineLevel="0" collapsed="false">
      <c r="A37" s="8" t="b">
        <f aca="false">TRUE()</f>
        <v>1</v>
      </c>
      <c r="B37" s="9" t="n">
        <v>85</v>
      </c>
      <c r="C37" s="10" t="s">
        <v>65</v>
      </c>
      <c r="D37" s="13"/>
      <c r="E37" s="12" t="n">
        <v>46305</v>
      </c>
      <c r="F37" s="10" t="s">
        <v>63</v>
      </c>
    </row>
    <row r="38" customFormat="false" ht="15" hidden="false" customHeight="false" outlineLevel="0" collapsed="false">
      <c r="A38" s="8" t="b">
        <f aca="false">TRUE()</f>
        <v>1</v>
      </c>
      <c r="B38" s="9" t="n">
        <v>5</v>
      </c>
      <c r="C38" s="10" t="s">
        <v>65</v>
      </c>
      <c r="D38" s="13"/>
      <c r="E38" s="12" t="n">
        <v>46305</v>
      </c>
      <c r="F38" s="10" t="s">
        <v>63</v>
      </c>
    </row>
    <row r="39" customFormat="false" ht="15" hidden="false" customHeight="false" outlineLevel="0" collapsed="false">
      <c r="A39" s="8" t="b">
        <f aca="false">TRUE()</f>
        <v>1</v>
      </c>
      <c r="B39" s="9" t="n">
        <v>16</v>
      </c>
      <c r="C39" s="10" t="s">
        <v>74</v>
      </c>
      <c r="D39" s="13"/>
      <c r="E39" s="12" t="n">
        <v>46305</v>
      </c>
      <c r="F39" s="10" t="s">
        <v>63</v>
      </c>
    </row>
    <row r="40" customFormat="false" ht="15" hidden="false" customHeight="false" outlineLevel="0" collapsed="false">
      <c r="A40" s="8" t="b">
        <f aca="false">TRUE()</f>
        <v>1</v>
      </c>
      <c r="B40" s="9" t="n">
        <v>17</v>
      </c>
      <c r="C40" s="10" t="s">
        <v>75</v>
      </c>
      <c r="D40" s="13"/>
      <c r="E40" s="12" t="n">
        <v>46305</v>
      </c>
      <c r="F40" s="10" t="s">
        <v>63</v>
      </c>
    </row>
    <row r="41" customFormat="false" ht="15" hidden="false" customHeight="false" outlineLevel="0" collapsed="false">
      <c r="A41" s="8" t="b">
        <f aca="false">TRUE()</f>
        <v>1</v>
      </c>
      <c r="B41" s="9" t="n">
        <v>99</v>
      </c>
      <c r="C41" s="10" t="s">
        <v>76</v>
      </c>
      <c r="D41" s="13"/>
      <c r="E41" s="12" t="n">
        <v>46305</v>
      </c>
      <c r="F41" s="10" t="s">
        <v>63</v>
      </c>
    </row>
    <row r="42" customFormat="false" ht="15" hidden="false" customHeight="false" outlineLevel="0" collapsed="false">
      <c r="A42" s="8" t="b">
        <f aca="false">TRUE()</f>
        <v>1</v>
      </c>
      <c r="B42" s="9" t="n">
        <v>10</v>
      </c>
      <c r="C42" s="10" t="s">
        <v>77</v>
      </c>
      <c r="D42" s="13"/>
      <c r="E42" s="12" t="n">
        <v>46306</v>
      </c>
      <c r="F42" s="10" t="s">
        <v>63</v>
      </c>
    </row>
    <row r="43" customFormat="false" ht="15" hidden="false" customHeight="false" outlineLevel="0" collapsed="false">
      <c r="A43" s="8" t="b">
        <f aca="false">TRUE()</f>
        <v>1</v>
      </c>
      <c r="B43" s="9" t="n">
        <v>5</v>
      </c>
      <c r="C43" s="10" t="s">
        <v>78</v>
      </c>
      <c r="D43" s="13"/>
      <c r="E43" s="12" t="n">
        <v>46306</v>
      </c>
      <c r="F43" s="10" t="s">
        <v>63</v>
      </c>
    </row>
    <row r="44" customFormat="false" ht="15" hidden="false" customHeight="false" outlineLevel="0" collapsed="false">
      <c r="A44" s="8" t="b">
        <f aca="false">TRUE()</f>
        <v>1</v>
      </c>
      <c r="B44" s="9" t="n">
        <v>172</v>
      </c>
      <c r="C44" s="10" t="s">
        <v>79</v>
      </c>
      <c r="D44" s="13"/>
      <c r="E44" s="12" t="n">
        <v>46307</v>
      </c>
      <c r="F44" s="10" t="s">
        <v>63</v>
      </c>
    </row>
    <row r="45" customFormat="false" ht="15" hidden="false" customHeight="false" outlineLevel="0" collapsed="false">
      <c r="A45" s="8" t="b">
        <f aca="false">TRUE()</f>
        <v>1</v>
      </c>
      <c r="B45" s="9" t="n">
        <v>17</v>
      </c>
      <c r="C45" s="10" t="s">
        <v>57</v>
      </c>
      <c r="D45" s="13"/>
      <c r="E45" s="12" t="n">
        <v>46307</v>
      </c>
      <c r="F45" s="10" t="s">
        <v>63</v>
      </c>
    </row>
    <row r="46" customFormat="false" ht="15" hidden="false" customHeight="false" outlineLevel="0" collapsed="false">
      <c r="A46" s="8" t="b">
        <f aca="false">TRUE()</f>
        <v>1</v>
      </c>
      <c r="B46" s="9" t="n">
        <v>669</v>
      </c>
      <c r="C46" s="10" t="s">
        <v>80</v>
      </c>
      <c r="D46" s="13"/>
      <c r="E46" s="12" t="n">
        <v>46300</v>
      </c>
      <c r="F46" s="10" t="s">
        <v>63</v>
      </c>
    </row>
    <row r="47" customFormat="false" ht="15" hidden="false" customHeight="false" outlineLevel="0" collapsed="false">
      <c r="A47" s="8" t="b">
        <f aca="false">TRUE()</f>
        <v>1</v>
      </c>
      <c r="B47" s="9" t="n">
        <v>850</v>
      </c>
      <c r="C47" s="10" t="s">
        <v>81</v>
      </c>
      <c r="D47" s="13"/>
      <c r="E47" s="12" t="n">
        <v>46303</v>
      </c>
      <c r="F47" s="10" t="s">
        <v>82</v>
      </c>
    </row>
    <row r="48" customFormat="false" ht="15" hidden="false" customHeight="false" outlineLevel="0" collapsed="false">
      <c r="A48" s="8" t="b">
        <f aca="false">TRUE()</f>
        <v>1</v>
      </c>
      <c r="B48" s="9" t="n">
        <v>120</v>
      </c>
      <c r="C48" s="10" t="s">
        <v>83</v>
      </c>
      <c r="D48" s="13"/>
      <c r="E48" s="12" t="n">
        <v>46304</v>
      </c>
      <c r="F48" s="10" t="s">
        <v>82</v>
      </c>
    </row>
    <row r="49" customFormat="false" ht="15" hidden="false" customHeight="false" outlineLevel="0" collapsed="false">
      <c r="A49" s="8" t="b">
        <f aca="false">TRUE()</f>
        <v>1</v>
      </c>
      <c r="B49" s="9" t="n">
        <v>175</v>
      </c>
      <c r="C49" s="10" t="s">
        <v>84</v>
      </c>
      <c r="D49" s="13"/>
      <c r="E49" s="12" t="n">
        <v>46304</v>
      </c>
      <c r="F49" s="10" t="s">
        <v>85</v>
      </c>
    </row>
    <row r="50" customFormat="false" ht="15" hidden="false" customHeight="false" outlineLevel="0" collapsed="false">
      <c r="A50" s="8" t="b">
        <f aca="false">TRUE()</f>
        <v>1</v>
      </c>
      <c r="B50" s="9" t="n">
        <v>35</v>
      </c>
      <c r="C50" s="10" t="s">
        <v>86</v>
      </c>
      <c r="D50" s="13"/>
      <c r="E50" s="12" t="n">
        <v>46300</v>
      </c>
      <c r="F50" s="10" t="s">
        <v>85</v>
      </c>
    </row>
    <row r="51" customFormat="false" ht="15" hidden="false" customHeight="false" outlineLevel="0" collapsed="false">
      <c r="A51" s="8" t="b">
        <f aca="false">TRUE()</f>
        <v>1</v>
      </c>
      <c r="B51" s="9" t="n">
        <v>47</v>
      </c>
      <c r="C51" s="10" t="s">
        <v>87</v>
      </c>
      <c r="D51" s="13"/>
      <c r="E51" s="12" t="n">
        <v>46300</v>
      </c>
      <c r="F51" s="10" t="s">
        <v>85</v>
      </c>
    </row>
    <row r="52" customFormat="false" ht="15" hidden="false" customHeight="false" outlineLevel="0" collapsed="false">
      <c r="A52" s="8" t="b">
        <f aca="false">TRUE()</f>
        <v>1</v>
      </c>
      <c r="B52" s="9" t="n">
        <v>2400</v>
      </c>
      <c r="C52" s="10" t="s">
        <v>88</v>
      </c>
      <c r="D52" s="11" t="n">
        <v>2500</v>
      </c>
      <c r="E52" s="12" t="n">
        <v>46300</v>
      </c>
      <c r="F52" s="10" t="s">
        <v>85</v>
      </c>
    </row>
    <row r="53" customFormat="false" ht="15" hidden="false" customHeight="false" outlineLevel="0" collapsed="false">
      <c r="A53" s="8" t="b">
        <f aca="false">TRUE()</f>
        <v>1</v>
      </c>
      <c r="B53" s="9" t="n">
        <v>55.9</v>
      </c>
      <c r="C53" s="10" t="s">
        <v>89</v>
      </c>
      <c r="D53" s="13"/>
      <c r="E53" s="12" t="n">
        <v>46302</v>
      </c>
      <c r="F53" s="10" t="s">
        <v>85</v>
      </c>
    </row>
    <row r="54" customFormat="false" ht="15" hidden="false" customHeight="false" outlineLevel="0" collapsed="false">
      <c r="A54" s="8" t="b">
        <f aca="false">TRUE()</f>
        <v>1</v>
      </c>
      <c r="B54" s="9" t="n">
        <v>36</v>
      </c>
      <c r="C54" s="10" t="s">
        <v>90</v>
      </c>
      <c r="D54" s="13"/>
      <c r="E54" s="12" t="n">
        <v>46302</v>
      </c>
      <c r="F54" s="10" t="s">
        <v>85</v>
      </c>
    </row>
    <row r="55" customFormat="false" ht="15" hidden="false" customHeight="false" outlineLevel="0" collapsed="false">
      <c r="A55" s="8" t="b">
        <f aca="false">TRUE()</f>
        <v>1</v>
      </c>
      <c r="B55" s="9" t="n">
        <v>64</v>
      </c>
      <c r="C55" s="10" t="s">
        <v>91</v>
      </c>
      <c r="D55" s="13"/>
      <c r="E55" s="12" t="n">
        <v>46302</v>
      </c>
      <c r="F55" s="10" t="s">
        <v>85</v>
      </c>
    </row>
    <row r="56" customFormat="false" ht="15" hidden="false" customHeight="false" outlineLevel="0" collapsed="false">
      <c r="A56" s="8" t="b">
        <f aca="false">TRUE()</f>
        <v>1</v>
      </c>
      <c r="B56" s="9" t="n">
        <v>100</v>
      </c>
      <c r="C56" s="10" t="s">
        <v>92</v>
      </c>
      <c r="D56" s="13"/>
      <c r="E56" s="12" t="n">
        <v>46302</v>
      </c>
      <c r="F56" s="10" t="s">
        <v>85</v>
      </c>
    </row>
    <row r="57" customFormat="false" ht="15" hidden="false" customHeight="false" outlineLevel="0" collapsed="false">
      <c r="A57" s="8" t="b">
        <f aca="false">TRUE()</f>
        <v>1</v>
      </c>
      <c r="B57" s="9" t="n">
        <v>58</v>
      </c>
      <c r="C57" s="10" t="s">
        <v>93</v>
      </c>
      <c r="D57" s="13"/>
      <c r="E57" s="12" t="n">
        <v>46302</v>
      </c>
      <c r="F57" s="10" t="s">
        <v>94</v>
      </c>
    </row>
    <row r="58" customFormat="false" ht="15" hidden="false" customHeight="false" outlineLevel="0" collapsed="false">
      <c r="A58" s="8" t="b">
        <f aca="false">TRUE()</f>
        <v>1</v>
      </c>
      <c r="B58" s="9" t="n">
        <v>165.5</v>
      </c>
      <c r="C58" s="10" t="s">
        <v>95</v>
      </c>
      <c r="D58" s="13"/>
      <c r="E58" s="12" t="n">
        <v>46304</v>
      </c>
      <c r="F58" s="10" t="s">
        <v>94</v>
      </c>
    </row>
    <row r="59" customFormat="false" ht="15" hidden="false" customHeight="false" outlineLevel="0" collapsed="false">
      <c r="A59" s="8" t="b">
        <f aca="false">TRUE()</f>
        <v>1</v>
      </c>
      <c r="B59" s="9" t="n">
        <v>115</v>
      </c>
      <c r="C59" s="10" t="s">
        <v>96</v>
      </c>
      <c r="D59" s="13"/>
      <c r="E59" s="12" t="n">
        <v>46305</v>
      </c>
      <c r="F59" s="10" t="s">
        <v>94</v>
      </c>
    </row>
    <row r="60" customFormat="false" ht="15" hidden="false" customHeight="false" outlineLevel="0" collapsed="false">
      <c r="A60" s="8" t="b">
        <f aca="false">TRUE()</f>
        <v>1</v>
      </c>
      <c r="B60" s="9" t="n">
        <v>55</v>
      </c>
      <c r="C60" s="10" t="s">
        <v>97</v>
      </c>
      <c r="D60" s="13"/>
      <c r="E60" s="12" t="n">
        <v>46301</v>
      </c>
      <c r="F60" s="10" t="s">
        <v>98</v>
      </c>
    </row>
    <row r="61" customFormat="false" ht="15" hidden="false" customHeight="false" outlineLevel="0" collapsed="false">
      <c r="A61" s="8" t="b">
        <f aca="false">TRUE()</f>
        <v>1</v>
      </c>
      <c r="B61" s="9" t="n">
        <v>102</v>
      </c>
      <c r="C61" s="10" t="s">
        <v>99</v>
      </c>
      <c r="D61" s="13"/>
      <c r="E61" s="12" t="n">
        <v>46301</v>
      </c>
      <c r="F61" s="10" t="s">
        <v>98</v>
      </c>
    </row>
    <row r="62" customFormat="false" ht="15" hidden="false" customHeight="false" outlineLevel="0" collapsed="false">
      <c r="A62" s="8" t="b">
        <f aca="false">TRUE()</f>
        <v>1</v>
      </c>
      <c r="B62" s="9" t="n">
        <v>-17</v>
      </c>
      <c r="C62" s="10" t="s">
        <v>100</v>
      </c>
      <c r="D62" s="13"/>
      <c r="E62" s="12" t="n">
        <v>46302</v>
      </c>
      <c r="F62" s="10" t="s">
        <v>98</v>
      </c>
    </row>
    <row r="63" customFormat="false" ht="15" hidden="false" customHeight="false" outlineLevel="0" collapsed="false">
      <c r="A63" s="8" t="b">
        <f aca="false">TRUE()</f>
        <v>1</v>
      </c>
      <c r="B63" s="9" t="n">
        <v>14</v>
      </c>
      <c r="C63" s="10" t="s">
        <v>101</v>
      </c>
      <c r="D63" s="13"/>
      <c r="E63" s="12" t="n">
        <v>46302</v>
      </c>
      <c r="F63" s="10" t="s">
        <v>98</v>
      </c>
    </row>
    <row r="64" customFormat="false" ht="15" hidden="false" customHeight="false" outlineLevel="0" collapsed="false">
      <c r="A64" s="8" t="b">
        <f aca="false">TRUE()</f>
        <v>1</v>
      </c>
      <c r="B64" s="9" t="n">
        <v>45</v>
      </c>
      <c r="C64" s="10" t="s">
        <v>100</v>
      </c>
      <c r="D64" s="13"/>
      <c r="E64" s="12" t="n">
        <v>46302</v>
      </c>
      <c r="F64" s="10" t="s">
        <v>98</v>
      </c>
    </row>
    <row r="65" customFormat="false" ht="15" hidden="false" customHeight="false" outlineLevel="0" collapsed="false">
      <c r="A65" s="8" t="b">
        <f aca="false">TRUE()</f>
        <v>1</v>
      </c>
      <c r="B65" s="9" t="n">
        <v>170</v>
      </c>
      <c r="C65" s="10" t="s">
        <v>102</v>
      </c>
      <c r="D65" s="13"/>
      <c r="E65" s="12" t="n">
        <v>46302</v>
      </c>
      <c r="F65" s="10" t="s">
        <v>98</v>
      </c>
    </row>
    <row r="66" customFormat="false" ht="15" hidden="false" customHeight="false" outlineLevel="0" collapsed="false">
      <c r="A66" s="8" t="b">
        <f aca="false">TRUE()</f>
        <v>1</v>
      </c>
      <c r="B66" s="9" t="n">
        <v>50</v>
      </c>
      <c r="C66" s="10" t="s">
        <v>103</v>
      </c>
      <c r="D66" s="13"/>
      <c r="E66" s="12" t="n">
        <v>46304</v>
      </c>
      <c r="F66" s="10" t="s">
        <v>98</v>
      </c>
    </row>
    <row r="67" customFormat="false" ht="15" hidden="false" customHeight="false" outlineLevel="0" collapsed="false">
      <c r="A67" s="8" t="b">
        <f aca="false">TRUE()</f>
        <v>1</v>
      </c>
      <c r="B67" s="9" t="n">
        <v>15</v>
      </c>
      <c r="C67" s="10" t="s">
        <v>104</v>
      </c>
      <c r="D67" s="13"/>
      <c r="E67" s="12" t="n">
        <v>46304</v>
      </c>
      <c r="F67" s="10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4"/>
    <col collapsed="false" customWidth="true" hidden="false" outlineLevel="0" max="3" min="3" style="0" width="55"/>
  </cols>
  <sheetData>
    <row r="1" customFormat="false" ht="24" hidden="false" customHeight="true" outlineLevel="0" collapsed="false">
      <c r="A1" s="14" t="s">
        <v>105</v>
      </c>
      <c r="B1" s="14"/>
      <c r="C1" s="14"/>
    </row>
    <row r="2" customFormat="false" ht="15" hidden="false" customHeight="false" outlineLevel="0" collapsed="false">
      <c r="A2" s="7" t="s">
        <v>106</v>
      </c>
      <c r="B2" s="7" t="s">
        <v>107</v>
      </c>
      <c r="C2" s="7" t="s">
        <v>108</v>
      </c>
    </row>
    <row r="3" customFormat="false" ht="15" hidden="false" customHeight="false" outlineLevel="0" collapsed="false">
      <c r="A3" s="13" t="s">
        <v>109</v>
      </c>
      <c r="B3" s="10" t="s">
        <v>110</v>
      </c>
      <c r="C3" s="15"/>
    </row>
    <row r="4" customFormat="false" ht="15" hidden="false" customHeight="false" outlineLevel="0" collapsed="false">
      <c r="A4" s="13" t="s">
        <v>111</v>
      </c>
      <c r="B4" s="10" t="s">
        <v>112</v>
      </c>
      <c r="C4" s="15"/>
    </row>
    <row r="5" customFormat="false" ht="15" hidden="false" customHeight="false" outlineLevel="0" collapsed="false">
      <c r="A5" s="13" t="s">
        <v>113</v>
      </c>
      <c r="B5" s="10" t="s">
        <v>114</v>
      </c>
      <c r="C5" s="15"/>
    </row>
    <row r="6" customFormat="false" ht="15" hidden="false" customHeight="false" outlineLevel="0" collapsed="false">
      <c r="A6" s="13" t="s">
        <v>115</v>
      </c>
      <c r="B6" s="10" t="s">
        <v>116</v>
      </c>
      <c r="C6" s="15"/>
    </row>
    <row r="7" customFormat="false" ht="15" hidden="false" customHeight="false" outlineLevel="0" collapsed="false">
      <c r="A7" s="13" t="s">
        <v>117</v>
      </c>
      <c r="B7" s="10" t="s">
        <v>42</v>
      </c>
      <c r="C7" s="15"/>
    </row>
    <row r="8" customFormat="false" ht="15" hidden="false" customHeight="false" outlineLevel="0" collapsed="false">
      <c r="A8" s="13" t="s">
        <v>118</v>
      </c>
      <c r="B8" s="10" t="s">
        <v>44</v>
      </c>
      <c r="C8" s="15"/>
    </row>
    <row r="9" customFormat="false" ht="15" hidden="false" customHeight="false" outlineLevel="0" collapsed="false">
      <c r="A9" s="13" t="s">
        <v>119</v>
      </c>
      <c r="B9" s="10" t="s">
        <v>51</v>
      </c>
      <c r="C9" s="15"/>
    </row>
    <row r="10" customFormat="false" ht="15" hidden="false" customHeight="false" outlineLevel="0" collapsed="false">
      <c r="A10" s="13" t="s">
        <v>120</v>
      </c>
      <c r="B10" s="10" t="s">
        <v>59</v>
      </c>
      <c r="C10" s="15"/>
    </row>
    <row r="11" customFormat="false" ht="15" hidden="false" customHeight="false" outlineLevel="0" collapsed="false">
      <c r="A11" s="13" t="s">
        <v>121</v>
      </c>
      <c r="B11" s="10" t="s">
        <v>47</v>
      </c>
      <c r="C11" s="15"/>
    </row>
    <row r="12" customFormat="false" ht="15" hidden="false" customHeight="false" outlineLevel="0" collapsed="false">
      <c r="A12" s="13" t="s">
        <v>122</v>
      </c>
      <c r="B12" s="10" t="s">
        <v>123</v>
      </c>
      <c r="C12" s="15"/>
    </row>
    <row r="13" customFormat="false" ht="15" hidden="false" customHeight="false" outlineLevel="0" collapsed="false">
      <c r="A13" s="13" t="s">
        <v>124</v>
      </c>
      <c r="B13" s="10" t="s">
        <v>125</v>
      </c>
      <c r="C13" s="15"/>
    </row>
    <row r="14" customFormat="false" ht="15" hidden="false" customHeight="false" outlineLevel="0" collapsed="false">
      <c r="A14" s="13" t="s">
        <v>126</v>
      </c>
      <c r="B14" s="10" t="s">
        <v>127</v>
      </c>
      <c r="C14" s="15"/>
    </row>
    <row r="15" customFormat="false" ht="15" hidden="false" customHeight="false" outlineLevel="0" collapsed="false">
      <c r="A15" s="13" t="s">
        <v>128</v>
      </c>
      <c r="B15" s="10" t="s">
        <v>129</v>
      </c>
      <c r="C15" s="15"/>
    </row>
    <row r="16" customFormat="false" ht="15" hidden="false" customHeight="false" outlineLevel="0" collapsed="false">
      <c r="A16" s="13" t="s">
        <v>130</v>
      </c>
      <c r="B16" s="10" t="s">
        <v>82</v>
      </c>
      <c r="C16" s="15"/>
    </row>
    <row r="17" customFormat="false" ht="15" hidden="false" customHeight="false" outlineLevel="0" collapsed="false">
      <c r="A17" s="13" t="s">
        <v>131</v>
      </c>
      <c r="B17" s="10" t="s">
        <v>132</v>
      </c>
      <c r="C17" s="15"/>
    </row>
    <row r="18" customFormat="false" ht="15" hidden="false" customHeight="false" outlineLevel="0" collapsed="false">
      <c r="A18" s="13" t="s">
        <v>133</v>
      </c>
      <c r="B18" s="10" t="s">
        <v>134</v>
      </c>
      <c r="C18" s="15"/>
    </row>
    <row r="19" customFormat="false" ht="15" hidden="false" customHeight="false" outlineLevel="0" collapsed="false">
      <c r="A19" s="13" t="s">
        <v>135</v>
      </c>
      <c r="B19" s="10" t="s">
        <v>40</v>
      </c>
      <c r="C19" s="15" t="s">
        <v>136</v>
      </c>
    </row>
    <row r="20" customFormat="false" ht="15" hidden="false" customHeight="false" outlineLevel="0" collapsed="false">
      <c r="A20" s="13" t="s">
        <v>137</v>
      </c>
      <c r="B20" s="10" t="s">
        <v>138</v>
      </c>
      <c r="C20" s="15"/>
    </row>
    <row r="21" customFormat="false" ht="15" hidden="false" customHeight="false" outlineLevel="0" collapsed="false">
      <c r="A21" s="13" t="s">
        <v>139</v>
      </c>
      <c r="B21" s="10" t="s">
        <v>140</v>
      </c>
      <c r="C21" s="15"/>
    </row>
    <row r="22" customFormat="false" ht="15" hidden="false" customHeight="false" outlineLevel="0" collapsed="false">
      <c r="A22" s="13" t="s">
        <v>141</v>
      </c>
      <c r="B22" s="10" t="s">
        <v>142</v>
      </c>
      <c r="C22" s="15"/>
    </row>
    <row r="23" customFormat="false" ht="15" hidden="false" customHeight="false" outlineLevel="0" collapsed="false">
      <c r="A23" s="13" t="s">
        <v>143</v>
      </c>
      <c r="B23" s="10" t="s">
        <v>144</v>
      </c>
      <c r="C23" s="15"/>
    </row>
    <row r="24" customFormat="false" ht="15" hidden="false" customHeight="false" outlineLevel="0" collapsed="false">
      <c r="A24" s="13" t="s">
        <v>145</v>
      </c>
      <c r="B24" s="10" t="s">
        <v>146</v>
      </c>
      <c r="C24" s="15"/>
    </row>
    <row r="25" customFormat="false" ht="22.35" hidden="false" customHeight="false" outlineLevel="0" collapsed="false">
      <c r="A25" s="13" t="s">
        <v>147</v>
      </c>
      <c r="B25" s="10" t="s">
        <v>63</v>
      </c>
      <c r="C25" s="15" t="s">
        <v>148</v>
      </c>
    </row>
    <row r="26" customFormat="false" ht="15" hidden="false" customHeight="false" outlineLevel="0" collapsed="false">
      <c r="A26" s="13" t="s">
        <v>149</v>
      </c>
      <c r="B26" s="10" t="s">
        <v>150</v>
      </c>
      <c r="C26" s="15"/>
    </row>
    <row r="27" customFormat="false" ht="22.35" hidden="false" customHeight="false" outlineLevel="0" collapsed="false">
      <c r="A27" s="13" t="s">
        <v>151</v>
      </c>
      <c r="B27" s="10" t="s">
        <v>152</v>
      </c>
      <c r="C27" s="15" t="s">
        <v>153</v>
      </c>
    </row>
    <row r="28" customFormat="false" ht="15" hidden="false" customHeight="false" outlineLevel="0" collapsed="false">
      <c r="A28" s="13" t="s">
        <v>154</v>
      </c>
      <c r="B28" s="10" t="s">
        <v>85</v>
      </c>
      <c r="C28" s="15" t="s">
        <v>155</v>
      </c>
    </row>
    <row r="29" customFormat="false" ht="15" hidden="false" customHeight="false" outlineLevel="0" collapsed="false">
      <c r="A29" s="13" t="s">
        <v>156</v>
      </c>
      <c r="B29" s="10" t="s">
        <v>94</v>
      </c>
      <c r="C29" s="15" t="s">
        <v>155</v>
      </c>
    </row>
    <row r="30" customFormat="false" ht="15" hidden="false" customHeight="false" outlineLevel="0" collapsed="false">
      <c r="A30" s="13" t="s">
        <v>157</v>
      </c>
      <c r="B30" s="10" t="s">
        <v>98</v>
      </c>
      <c r="C30" s="15" t="s">
        <v>155</v>
      </c>
    </row>
    <row r="31" customFormat="false" ht="15" hidden="false" customHeight="false" outlineLevel="0" collapsed="false">
      <c r="A31" s="13" t="s">
        <v>158</v>
      </c>
      <c r="B31" s="10" t="s">
        <v>49</v>
      </c>
      <c r="C31" s="15" t="s">
        <v>155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9"/>
    <col collapsed="false" customWidth="true" hidden="false" outlineLevel="0" max="8" min="7" style="0" width="13"/>
  </cols>
  <sheetData>
    <row r="2" customFormat="false" ht="15" hidden="false" customHeight="false" outlineLevel="0" collapsed="false">
      <c r="B2" s="6" t="s">
        <v>159</v>
      </c>
      <c r="C2" s="16" t="n">
        <f aca="false">SUM(C3:C7)</f>
        <v>32500</v>
      </c>
      <c r="E2" s="14" t="s">
        <v>160</v>
      </c>
      <c r="F2" s="14"/>
    </row>
    <row r="3" customFormat="false" ht="15" hidden="false" customHeight="false" outlineLevel="0" collapsed="false">
      <c r="B3" s="6" t="s">
        <v>161</v>
      </c>
      <c r="C3" s="17" t="n">
        <v>15500</v>
      </c>
      <c r="E3" s="4" t="s">
        <v>162</v>
      </c>
      <c r="F3" s="18" t="n">
        <f aca="false">C2</f>
        <v>32500</v>
      </c>
    </row>
    <row r="4" customFormat="false" ht="15" hidden="false" customHeight="false" outlineLevel="0" collapsed="false">
      <c r="B4" s="6" t="s">
        <v>163</v>
      </c>
      <c r="C4" s="17" t="n">
        <v>17000</v>
      </c>
      <c r="E4" s="4" t="s">
        <v>164</v>
      </c>
      <c r="F4" s="18" t="n">
        <f aca="false">C40</f>
        <v>15395.48</v>
      </c>
    </row>
    <row r="5" customFormat="false" ht="15" hidden="false" customHeight="false" outlineLevel="0" collapsed="false">
      <c r="B5" s="6" t="s">
        <v>165</v>
      </c>
      <c r="C5" s="17"/>
      <c r="E5" s="4" t="s">
        <v>166</v>
      </c>
      <c r="F5" s="18" t="n">
        <f aca="false">C2-C40</f>
        <v>17104.52</v>
      </c>
    </row>
    <row r="6" customFormat="false" ht="15" hidden="false" customHeight="false" outlineLevel="0" collapsed="false">
      <c r="B6" s="6" t="s">
        <v>167</v>
      </c>
      <c r="C6" s="17"/>
      <c r="E6" s="4" t="s">
        <v>168</v>
      </c>
      <c r="F6" s="18" t="n">
        <f aca="false">H40</f>
        <v>0</v>
      </c>
    </row>
    <row r="7" customFormat="false" ht="15" hidden="false" customHeight="false" outlineLevel="0" collapsed="false">
      <c r="B7" s="6" t="s">
        <v>169</v>
      </c>
      <c r="C7" s="17"/>
      <c r="E7" s="4" t="s">
        <v>170</v>
      </c>
      <c r="F7" s="18" t="n">
        <f aca="false">F6+F5</f>
        <v>17104.52</v>
      </c>
      <c r="G7" s="19" t="s">
        <v>171</v>
      </c>
    </row>
    <row r="10" customFormat="false" ht="22.35" hidden="false" customHeight="false" outlineLevel="0" collapsed="false">
      <c r="B10" s="20" t="s">
        <v>172</v>
      </c>
      <c r="C10" s="20" t="s">
        <v>173</v>
      </c>
      <c r="D10" s="20" t="s">
        <v>174</v>
      </c>
      <c r="E10" s="20" t="s">
        <v>175</v>
      </c>
      <c r="F10" s="20" t="s">
        <v>176</v>
      </c>
      <c r="G10" s="20" t="s">
        <v>177</v>
      </c>
      <c r="H10" s="20" t="s">
        <v>178</v>
      </c>
    </row>
    <row r="11" customFormat="false" ht="15" hidden="false" customHeight="false" outlineLevel="0" collapsed="false">
      <c r="B11" s="13" t="s">
        <v>109</v>
      </c>
      <c r="C11" s="11" t="n">
        <f aca="false">IFERROR(SUMIFS('Oct 2026'!$B$8:$B$67,'Oct 2026'!$F$8:$F$67,VLOOKUP($B11,'Category Map'!$A$3:$B$31,2,FALSE())),0)</f>
        <v>0</v>
      </c>
      <c r="D11" s="21" t="s">
        <v>179</v>
      </c>
      <c r="E11" s="21" t="s">
        <v>180</v>
      </c>
      <c r="F11" s="22" t="n">
        <f aca="false">IFERROR(C11/$C$2,0)</f>
        <v>0</v>
      </c>
      <c r="G11" s="13"/>
      <c r="H11" s="11" t="n">
        <f aca="false">IF(G11="",0,MAX(0,C11-G11))</f>
        <v>0</v>
      </c>
    </row>
    <row r="12" customFormat="false" ht="15" hidden="false" customHeight="false" outlineLevel="0" collapsed="false">
      <c r="B12" s="13" t="s">
        <v>111</v>
      </c>
      <c r="C12" s="11" t="n">
        <f aca="false">IFERROR(SUMIFS('Oct 2026'!$B$8:$B$67,'Oct 2026'!$F$8:$F$67,VLOOKUP($B12,'Category Map'!$A$3:$B$31,2,FALSE())),0)</f>
        <v>0</v>
      </c>
      <c r="D12" s="21" t="s">
        <v>179</v>
      </c>
      <c r="E12" s="21" t="s">
        <v>180</v>
      </c>
      <c r="F12" s="22" t="n">
        <f aca="false">IFERROR(C12/$C$2,0)</f>
        <v>0</v>
      </c>
      <c r="G12" s="13"/>
      <c r="H12" s="11" t="n">
        <f aca="false">IF(G12="",0,MAX(0,C12-G12))</f>
        <v>0</v>
      </c>
    </row>
    <row r="13" customFormat="false" ht="15" hidden="false" customHeight="false" outlineLevel="0" collapsed="false">
      <c r="B13" s="13" t="s">
        <v>113</v>
      </c>
      <c r="C13" s="11" t="n">
        <f aca="false">IFERROR(SUMIFS('Oct 2026'!$B$8:$B$67,'Oct 2026'!$F$8:$F$67,VLOOKUP($B13,'Category Map'!$A$3:$B$31,2,FALSE())),0)</f>
        <v>0</v>
      </c>
      <c r="D13" s="21" t="s">
        <v>179</v>
      </c>
      <c r="E13" s="21" t="s">
        <v>180</v>
      </c>
      <c r="F13" s="22" t="n">
        <f aca="false">IFERROR(C13/$C$2,0)</f>
        <v>0</v>
      </c>
      <c r="G13" s="13"/>
      <c r="H13" s="11" t="n">
        <f aca="false">IF(G13="",0,MAX(0,C13-G13))</f>
        <v>0</v>
      </c>
    </row>
    <row r="14" customFormat="false" ht="15" hidden="false" customHeight="false" outlineLevel="0" collapsed="false">
      <c r="B14" s="13" t="s">
        <v>115</v>
      </c>
      <c r="C14" s="11" t="n">
        <f aca="false">IFERROR(SUMIFS('Oct 2026'!$B$8:$B$67,'Oct 2026'!$F$8:$F$67,VLOOKUP($B14,'Category Map'!$A$3:$B$31,2,FALSE())),0)</f>
        <v>0</v>
      </c>
      <c r="D14" s="21" t="s">
        <v>179</v>
      </c>
      <c r="E14" s="21" t="s">
        <v>180</v>
      </c>
      <c r="F14" s="22" t="n">
        <f aca="false">IFERROR(C14/$C$2,0)</f>
        <v>0</v>
      </c>
      <c r="G14" s="13"/>
      <c r="H14" s="11" t="n">
        <f aca="false">IF(G14="",0,MAX(0,C14-G14))</f>
        <v>0</v>
      </c>
    </row>
    <row r="15" customFormat="false" ht="15" hidden="false" customHeight="false" outlineLevel="0" collapsed="false">
      <c r="B15" s="13" t="s">
        <v>117</v>
      </c>
      <c r="C15" s="11" t="n">
        <f aca="false">IFERROR(SUMIFS('Oct 2026'!$B$8:$B$67,'Oct 2026'!$F$8:$F$67,VLOOKUP($B15,'Category Map'!$A$3:$B$31,2,FALSE())),0)</f>
        <v>40</v>
      </c>
      <c r="D15" s="21" t="s">
        <v>179</v>
      </c>
      <c r="E15" s="21" t="s">
        <v>180</v>
      </c>
      <c r="F15" s="22" t="n">
        <f aca="false">IFERROR(C15/$C$2,0)</f>
        <v>0.00123076923076923</v>
      </c>
      <c r="G15" s="13"/>
      <c r="H15" s="11" t="n">
        <f aca="false">IF(G15="",0,MAX(0,C15-G15))</f>
        <v>0</v>
      </c>
    </row>
    <row r="16" customFormat="false" ht="15" hidden="false" customHeight="false" outlineLevel="0" collapsed="false">
      <c r="B16" s="13" t="s">
        <v>118</v>
      </c>
      <c r="C16" s="11" t="n">
        <f aca="false">IFERROR(SUMIFS('Oct 2026'!$B$8:$B$67,'Oct 2026'!$F$8:$F$67,VLOOKUP($B16,'Category Map'!$A$3:$B$31,2,FALSE())),0)</f>
        <v>429.5</v>
      </c>
      <c r="D16" s="21" t="s">
        <v>181</v>
      </c>
      <c r="E16" s="21" t="s">
        <v>180</v>
      </c>
      <c r="F16" s="22" t="n">
        <f aca="false">IFERROR(C16/$C$2,0)</f>
        <v>0.0132153846153846</v>
      </c>
      <c r="G16" s="13"/>
      <c r="H16" s="11" t="n">
        <f aca="false">IF(G16="",0,MAX(0,C16-G16))</f>
        <v>0</v>
      </c>
    </row>
    <row r="17" customFormat="false" ht="15" hidden="false" customHeight="false" outlineLevel="0" collapsed="false">
      <c r="B17" s="13" t="s">
        <v>119</v>
      </c>
      <c r="C17" s="11" t="n">
        <f aca="false">IFERROR(SUMIFS('Oct 2026'!$B$8:$B$67,'Oct 2026'!$F$8:$F$67,VLOOKUP($B17,'Category Map'!$A$3:$B$31,2,FALSE())),0)</f>
        <v>1205.8</v>
      </c>
      <c r="D17" s="21" t="s">
        <v>181</v>
      </c>
      <c r="E17" s="21" t="s">
        <v>180</v>
      </c>
      <c r="F17" s="22" t="n">
        <f aca="false">IFERROR(C17/$C$2,0)</f>
        <v>0.0371015384615385</v>
      </c>
      <c r="G17" s="13"/>
      <c r="H17" s="11" t="n">
        <f aca="false">IF(G17="",0,MAX(0,C17-G17))</f>
        <v>0</v>
      </c>
    </row>
    <row r="18" customFormat="false" ht="15" hidden="false" customHeight="false" outlineLevel="0" collapsed="false">
      <c r="B18" s="13" t="s">
        <v>120</v>
      </c>
      <c r="C18" s="11" t="n">
        <f aca="false">IFERROR(SUMIFS('Oct 2026'!$B$8:$B$67,'Oct 2026'!$F$8:$F$67,VLOOKUP($B18,'Category Map'!$A$3:$B$31,2,FALSE())),0)</f>
        <v>106</v>
      </c>
      <c r="D18" s="21" t="s">
        <v>179</v>
      </c>
      <c r="E18" s="21" t="s">
        <v>180</v>
      </c>
      <c r="F18" s="22" t="n">
        <f aca="false">IFERROR(C18/$C$2,0)</f>
        <v>0.00326153846153846</v>
      </c>
      <c r="G18" s="13"/>
      <c r="H18" s="11" t="n">
        <f aca="false">IF(G18="",0,MAX(0,C18-G18))</f>
        <v>0</v>
      </c>
    </row>
    <row r="19" customFormat="false" ht="15" hidden="false" customHeight="false" outlineLevel="0" collapsed="false">
      <c r="B19" s="13" t="s">
        <v>121</v>
      </c>
      <c r="C19" s="11" t="n">
        <f aca="false">IFERROR(SUMIFS('Oct 2026'!$B$8:$B$67,'Oct 2026'!$F$8:$F$67,VLOOKUP($B19,'Category Map'!$A$3:$B$31,2,FALSE())),0)</f>
        <v>1000</v>
      </c>
      <c r="D19" s="21" t="s">
        <v>179</v>
      </c>
      <c r="E19" s="21" t="s">
        <v>180</v>
      </c>
      <c r="F19" s="22" t="n">
        <f aca="false">IFERROR(C19/$C$2,0)</f>
        <v>0.0307692307692308</v>
      </c>
      <c r="G19" s="13"/>
      <c r="H19" s="11" t="n">
        <f aca="false">IF(G19="",0,MAX(0,C19-G19))</f>
        <v>0</v>
      </c>
    </row>
    <row r="20" customFormat="false" ht="15" hidden="false" customHeight="false" outlineLevel="0" collapsed="false">
      <c r="B20" s="13" t="s">
        <v>122</v>
      </c>
      <c r="C20" s="11" t="n">
        <f aca="false">IFERROR(SUMIFS('Oct 2026'!$B$8:$B$67,'Oct 2026'!$F$8:$F$67,VLOOKUP($B20,'Category Map'!$A$3:$B$31,2,FALSE())),0)</f>
        <v>0</v>
      </c>
      <c r="D20" s="21"/>
      <c r="E20" s="21"/>
      <c r="F20" s="22" t="n">
        <f aca="false">IFERROR(C20/$C$2,0)</f>
        <v>0</v>
      </c>
      <c r="G20" s="13"/>
      <c r="H20" s="11" t="n">
        <f aca="false">IF(G20="",0,MAX(0,C20-G20))</f>
        <v>0</v>
      </c>
    </row>
    <row r="21" customFormat="false" ht="15" hidden="false" customHeight="false" outlineLevel="0" collapsed="false">
      <c r="B21" s="13" t="s">
        <v>124</v>
      </c>
      <c r="C21" s="11" t="n">
        <f aca="false">IFERROR(SUMIFS('Oct 2026'!$B$8:$B$67,'Oct 2026'!$F$8:$F$67,VLOOKUP($B21,'Category Map'!$A$3:$B$31,2,FALSE())),0)</f>
        <v>0</v>
      </c>
      <c r="D21" s="21" t="s">
        <v>179</v>
      </c>
      <c r="E21" s="21" t="s">
        <v>180</v>
      </c>
      <c r="F21" s="22" t="n">
        <f aca="false">IFERROR(C21/$C$2,0)</f>
        <v>0</v>
      </c>
      <c r="G21" s="13"/>
      <c r="H21" s="11" t="n">
        <f aca="false">IF(G21="",0,MAX(0,C21-G21))</f>
        <v>0</v>
      </c>
    </row>
    <row r="22" customFormat="false" ht="15" hidden="false" customHeight="false" outlineLevel="0" collapsed="false">
      <c r="B22" s="13" t="s">
        <v>126</v>
      </c>
      <c r="C22" s="11" t="n">
        <f aca="false">IFERROR(SUMIFS('Oct 2026'!$B$8:$B$67,'Oct 2026'!$F$8:$F$67,VLOOKUP($B22,'Category Map'!$A$3:$B$31,2,FALSE())),0)</f>
        <v>0</v>
      </c>
      <c r="D22" s="21"/>
      <c r="E22" s="21"/>
      <c r="F22" s="22" t="n">
        <f aca="false">IFERROR(C22/$C$2,0)</f>
        <v>0</v>
      </c>
      <c r="G22" s="13"/>
      <c r="H22" s="11" t="n">
        <f aca="false">IF(G22="",0,MAX(0,C22-G22))</f>
        <v>0</v>
      </c>
    </row>
    <row r="23" customFormat="false" ht="15" hidden="false" customHeight="false" outlineLevel="0" collapsed="false">
      <c r="B23" s="13" t="s">
        <v>128</v>
      </c>
      <c r="C23" s="11" t="n">
        <f aca="false">IFERROR(SUMIFS('Oct 2026'!$B$8:$B$67,'Oct 2026'!$F$8:$F$67,VLOOKUP($B23,'Category Map'!$A$3:$B$31,2,FALSE())),0)</f>
        <v>0</v>
      </c>
      <c r="D23" s="21"/>
      <c r="E23" s="21"/>
      <c r="F23" s="22" t="n">
        <f aca="false">IFERROR(C23/$C$2,0)</f>
        <v>0</v>
      </c>
      <c r="G23" s="13"/>
      <c r="H23" s="11" t="n">
        <f aca="false">IF(G23="",0,MAX(0,C23-G23))</f>
        <v>0</v>
      </c>
    </row>
    <row r="24" customFormat="false" ht="15" hidden="false" customHeight="false" outlineLevel="0" collapsed="false">
      <c r="B24" s="13" t="s">
        <v>130</v>
      </c>
      <c r="C24" s="11" t="n">
        <f aca="false">IFERROR(SUMIFS('Oct 2026'!$B$8:$B$67,'Oct 2026'!$F$8:$F$67,VLOOKUP($B24,'Category Map'!$A$3:$B$31,2,FALSE())),0)</f>
        <v>970</v>
      </c>
      <c r="D24" s="21" t="s">
        <v>181</v>
      </c>
      <c r="E24" s="21" t="s">
        <v>182</v>
      </c>
      <c r="F24" s="22" t="n">
        <f aca="false">IFERROR(C24/$C$2,0)</f>
        <v>0.0298461538461538</v>
      </c>
      <c r="G24" s="13"/>
      <c r="H24" s="11" t="n">
        <f aca="false">IF(G24="",0,MAX(0,C24-G24))</f>
        <v>0</v>
      </c>
    </row>
    <row r="25" customFormat="false" ht="15" hidden="false" customHeight="false" outlineLevel="0" collapsed="false">
      <c r="B25" s="13" t="s">
        <v>131</v>
      </c>
      <c r="C25" s="11" t="n">
        <f aca="false">IFERROR(SUMIFS('Oct 2026'!$B$8:$B$67,'Oct 2026'!$F$8:$F$67,VLOOKUP($B25,'Category Map'!$A$3:$B$31,2,FALSE())),0)</f>
        <v>0</v>
      </c>
      <c r="D25" s="21"/>
      <c r="E25" s="21"/>
      <c r="F25" s="22" t="n">
        <f aca="false">IFERROR(C25/$C$2,0)</f>
        <v>0</v>
      </c>
      <c r="G25" s="13"/>
      <c r="H25" s="11" t="n">
        <f aca="false">IF(G25="",0,MAX(0,C25-G25))</f>
        <v>0</v>
      </c>
    </row>
    <row r="26" customFormat="false" ht="15" hidden="false" customHeight="false" outlineLevel="0" collapsed="false">
      <c r="B26" s="13" t="s">
        <v>133</v>
      </c>
      <c r="C26" s="11" t="n">
        <f aca="false">IFERROR(SUMIFS('Oct 2026'!$B$8:$B$67,'Oct 2026'!$F$8:$F$67,VLOOKUP($B26,'Category Map'!$A$3:$B$31,2,FALSE())),0)</f>
        <v>0</v>
      </c>
      <c r="D26" s="21"/>
      <c r="E26" s="21"/>
      <c r="F26" s="22" t="n">
        <f aca="false">IFERROR(C26/$C$2,0)</f>
        <v>0</v>
      </c>
      <c r="G26" s="13"/>
      <c r="H26" s="11" t="n">
        <f aca="false">IF(G26="",0,MAX(0,C26-G26))</f>
        <v>0</v>
      </c>
    </row>
    <row r="27" customFormat="false" ht="15" hidden="false" customHeight="false" outlineLevel="0" collapsed="false">
      <c r="B27" s="13" t="s">
        <v>135</v>
      </c>
      <c r="C27" s="11" t="n">
        <f aca="false">IFERROR(SUMIFS('Oct 2026'!$B$8:$B$67,'Oct 2026'!$F$8:$F$67,VLOOKUP($B27,'Category Map'!$A$3:$B$31,2,FALSE())),0)</f>
        <v>5000</v>
      </c>
      <c r="D27" s="21" t="s">
        <v>179</v>
      </c>
      <c r="E27" s="21" t="s">
        <v>180</v>
      </c>
      <c r="F27" s="22" t="n">
        <f aca="false">IFERROR(C27/$C$2,0)</f>
        <v>0.153846153846154</v>
      </c>
      <c r="G27" s="13"/>
      <c r="H27" s="11" t="n">
        <f aca="false">IF(G27="",0,MAX(0,C27-G27))</f>
        <v>0</v>
      </c>
    </row>
    <row r="28" customFormat="false" ht="15" hidden="false" customHeight="false" outlineLevel="0" collapsed="false">
      <c r="B28" s="13" t="s">
        <v>137</v>
      </c>
      <c r="C28" s="11" t="n">
        <f aca="false">IFERROR(SUMIFS('Oct 2026'!$B$8:$B$67,'Oct 2026'!$F$8:$F$67,VLOOKUP($B28,'Category Map'!$A$3:$B$31,2,FALSE())),0)</f>
        <v>0</v>
      </c>
      <c r="D28" s="21"/>
      <c r="E28" s="21"/>
      <c r="F28" s="22" t="n">
        <f aca="false">IFERROR(C28/$C$2,0)</f>
        <v>0</v>
      </c>
      <c r="G28" s="13"/>
      <c r="H28" s="11" t="n">
        <f aca="false">IF(G28="",0,MAX(0,C28-G28))</f>
        <v>0</v>
      </c>
    </row>
    <row r="29" customFormat="false" ht="15" hidden="false" customHeight="false" outlineLevel="0" collapsed="false">
      <c r="B29" s="13" t="s">
        <v>139</v>
      </c>
      <c r="C29" s="11" t="n">
        <f aca="false">IFERROR(SUMIFS('Oct 2026'!$B$8:$B$67,'Oct 2026'!$F$8:$F$67,VLOOKUP($B29,'Category Map'!$A$3:$B$31,2,FALSE())),0)</f>
        <v>0</v>
      </c>
      <c r="D29" s="21"/>
      <c r="E29" s="21"/>
      <c r="F29" s="22" t="n">
        <f aca="false">IFERROR(C29/$C$2,0)</f>
        <v>0</v>
      </c>
      <c r="G29" s="13"/>
      <c r="H29" s="11" t="n">
        <f aca="false">IF(G29="",0,MAX(0,C29-G29))</f>
        <v>0</v>
      </c>
    </row>
    <row r="30" customFormat="false" ht="15" hidden="false" customHeight="false" outlineLevel="0" collapsed="false">
      <c r="B30" s="13" t="s">
        <v>141</v>
      </c>
      <c r="C30" s="11" t="n">
        <f aca="false">IFERROR(SUMIFS('Oct 2026'!$B$8:$B$67,'Oct 2026'!$F$8:$F$67,VLOOKUP($B30,'Category Map'!$A$3:$B$31,2,FALSE())),0)</f>
        <v>0</v>
      </c>
      <c r="D30" s="21" t="s">
        <v>179</v>
      </c>
      <c r="E30" s="21" t="s">
        <v>182</v>
      </c>
      <c r="F30" s="22" t="n">
        <f aca="false">IFERROR(C30/$C$2,0)</f>
        <v>0</v>
      </c>
      <c r="G30" s="13"/>
      <c r="H30" s="11" t="n">
        <f aca="false">IF(G30="",0,MAX(0,C30-G30))</f>
        <v>0</v>
      </c>
    </row>
    <row r="31" customFormat="false" ht="15" hidden="false" customHeight="false" outlineLevel="0" collapsed="false">
      <c r="B31" s="13" t="s">
        <v>143</v>
      </c>
      <c r="C31" s="11" t="n">
        <f aca="false">IFERROR(SUMIFS('Oct 2026'!$B$8:$B$67,'Oct 2026'!$F$8:$F$67,VLOOKUP($B31,'Category Map'!$A$3:$B$31,2,FALSE())),0)</f>
        <v>0</v>
      </c>
      <c r="D31" s="21" t="s">
        <v>179</v>
      </c>
      <c r="E31" s="21" t="s">
        <v>182</v>
      </c>
      <c r="F31" s="22" t="n">
        <f aca="false">IFERROR(C31/$C$2,0)</f>
        <v>0</v>
      </c>
      <c r="G31" s="13"/>
      <c r="H31" s="11" t="n">
        <f aca="false">IF(G31="",0,MAX(0,C31-G31))</f>
        <v>0</v>
      </c>
    </row>
    <row r="32" customFormat="false" ht="15" hidden="false" customHeight="false" outlineLevel="0" collapsed="false">
      <c r="B32" s="13" t="s">
        <v>145</v>
      </c>
      <c r="C32" s="11" t="n">
        <f aca="false">IFERROR(SUMIFS('Oct 2026'!$B$8:$B$67,'Oct 2026'!$F$8:$F$67,VLOOKUP($B32,'Category Map'!$A$3:$B$31,2,FALSE())),0)</f>
        <v>0</v>
      </c>
      <c r="D32" s="21"/>
      <c r="E32" s="21"/>
      <c r="F32" s="22" t="n">
        <f aca="false">IFERROR(C32/$C$2,0)</f>
        <v>0</v>
      </c>
      <c r="G32" s="13"/>
      <c r="H32" s="11" t="n">
        <f aca="false">IF(G32="",0,MAX(0,C32-G32))</f>
        <v>0</v>
      </c>
    </row>
    <row r="33" customFormat="false" ht="15" hidden="false" customHeight="false" outlineLevel="0" collapsed="false">
      <c r="B33" s="13" t="s">
        <v>147</v>
      </c>
      <c r="C33" s="11" t="n">
        <f aca="false">IFERROR(SUMIFS('Oct 2026'!$B$8:$B$67,'Oct 2026'!$F$8:$F$67,VLOOKUP($B33,'Category Map'!$A$3:$B$31,2,FALSE())),0)</f>
        <v>2244</v>
      </c>
      <c r="D33" s="21" t="s">
        <v>181</v>
      </c>
      <c r="E33" s="21" t="s">
        <v>182</v>
      </c>
      <c r="F33" s="22" t="n">
        <f aca="false">IFERROR(C33/$C$2,0)</f>
        <v>0.0690461538461538</v>
      </c>
      <c r="G33" s="13"/>
      <c r="H33" s="11" t="n">
        <f aca="false">IF(G33="",0,MAX(0,C33-G33))</f>
        <v>0</v>
      </c>
    </row>
    <row r="34" customFormat="false" ht="15" hidden="false" customHeight="false" outlineLevel="0" collapsed="false">
      <c r="B34" s="13" t="s">
        <v>149</v>
      </c>
      <c r="C34" s="11" t="n">
        <f aca="false">IFERROR(SUMIFS('Oct 2026'!$B$8:$B$67,'Oct 2026'!$F$8:$F$67,VLOOKUP($B34,'Category Map'!$A$3:$B$31,2,FALSE())),0)</f>
        <v>0</v>
      </c>
      <c r="D34" s="21"/>
      <c r="E34" s="21"/>
      <c r="F34" s="22" t="n">
        <f aca="false">IFERROR(C34/$C$2,0)</f>
        <v>0</v>
      </c>
      <c r="G34" s="13"/>
      <c r="H34" s="11" t="n">
        <f aca="false">IF(G34="",0,MAX(0,C34-G34))</f>
        <v>0</v>
      </c>
    </row>
    <row r="35" customFormat="false" ht="15" hidden="false" customHeight="false" outlineLevel="0" collapsed="false">
      <c r="B35" s="13" t="s">
        <v>151</v>
      </c>
      <c r="C35" s="11" t="n">
        <f aca="false">IFERROR(SUMIFS('Oct 2026'!$B$8:$B$67,'Oct 2026'!$F$8:$F$67,VLOOKUP($B35,'Category Map'!$A$3:$B$31,2,FALSE())),0)</f>
        <v>0</v>
      </c>
      <c r="D35" s="21" t="s">
        <v>181</v>
      </c>
      <c r="E35" s="21" t="s">
        <v>180</v>
      </c>
      <c r="F35" s="22" t="n">
        <f aca="false">IFERROR(C35/$C$2,0)</f>
        <v>0</v>
      </c>
      <c r="G35" s="13"/>
      <c r="H35" s="11" t="n">
        <f aca="false">IF(G35="",0,MAX(0,C35-G35))</f>
        <v>0</v>
      </c>
    </row>
    <row r="36" customFormat="false" ht="15" hidden="false" customHeight="false" outlineLevel="0" collapsed="false">
      <c r="B36" s="13" t="s">
        <v>154</v>
      </c>
      <c r="C36" s="11" t="n">
        <f aca="false">IFERROR(SUMIFS('Oct 2026'!$B$8:$B$67,'Oct 2026'!$F$8:$F$67,VLOOKUP($B36,'Category Map'!$A$3:$B$31,2,FALSE())),0)</f>
        <v>2912.9</v>
      </c>
      <c r="D36" s="21" t="s">
        <v>181</v>
      </c>
      <c r="E36" s="21" t="s">
        <v>182</v>
      </c>
      <c r="F36" s="22" t="n">
        <f aca="false">IFERROR(C36/$C$2,0)</f>
        <v>0.0896276923076923</v>
      </c>
      <c r="G36" s="13"/>
      <c r="H36" s="11" t="n">
        <f aca="false">IF(G36="",0,MAX(0,C36-G36))</f>
        <v>0</v>
      </c>
    </row>
    <row r="37" customFormat="false" ht="15" hidden="false" customHeight="false" outlineLevel="0" collapsed="false">
      <c r="B37" s="13" t="s">
        <v>156</v>
      </c>
      <c r="C37" s="11" t="n">
        <f aca="false">IFERROR(SUMIFS('Oct 2026'!$B$8:$B$67,'Oct 2026'!$F$8:$F$67,VLOOKUP($B37,'Category Map'!$A$3:$B$31,2,FALSE())),0)</f>
        <v>338.5</v>
      </c>
      <c r="D37" s="21" t="s">
        <v>181</v>
      </c>
      <c r="E37" s="21" t="s">
        <v>182</v>
      </c>
      <c r="F37" s="22" t="n">
        <f aca="false">IFERROR(C37/$C$2,0)</f>
        <v>0.0104153846153846</v>
      </c>
      <c r="G37" s="13"/>
      <c r="H37" s="11" t="n">
        <f aca="false">IF(G37="",0,MAX(0,C37-G37))</f>
        <v>0</v>
      </c>
    </row>
    <row r="38" customFormat="false" ht="15" hidden="false" customHeight="false" outlineLevel="0" collapsed="false">
      <c r="B38" s="13" t="s">
        <v>157</v>
      </c>
      <c r="C38" s="11" t="n">
        <f aca="false">IFERROR(SUMIFS('Oct 2026'!$B$8:$B$67,'Oct 2026'!$F$8:$F$67,VLOOKUP($B38,'Category Map'!$A$3:$B$31,2,FALSE())),0)</f>
        <v>434</v>
      </c>
      <c r="D38" s="21" t="s">
        <v>181</v>
      </c>
      <c r="E38" s="21" t="s">
        <v>182</v>
      </c>
      <c r="F38" s="22" t="n">
        <f aca="false">IFERROR(C38/$C$2,0)</f>
        <v>0.0133538461538462</v>
      </c>
      <c r="G38" s="13"/>
      <c r="H38" s="11" t="n">
        <f aca="false">IF(G38="",0,MAX(0,C38-G38))</f>
        <v>0</v>
      </c>
    </row>
    <row r="39" customFormat="false" ht="15" hidden="false" customHeight="false" outlineLevel="0" collapsed="false">
      <c r="B39" s="13" t="s">
        <v>158</v>
      </c>
      <c r="C39" s="11" t="n">
        <f aca="false">IFERROR(SUMIFS('Oct 2026'!$B$8:$B$67,'Oct 2026'!$F$8:$F$67,VLOOKUP($B39,'Category Map'!$A$3:$B$31,2,FALSE())),0)</f>
        <v>714.78</v>
      </c>
      <c r="D39" s="21" t="s">
        <v>179</v>
      </c>
      <c r="E39" s="21" t="s">
        <v>180</v>
      </c>
      <c r="F39" s="22" t="n">
        <f aca="false">IFERROR(C39/$C$2,0)</f>
        <v>0.0219932307692308</v>
      </c>
      <c r="G39" s="13"/>
      <c r="H39" s="11" t="n">
        <f aca="false">IF(G39="",0,MAX(0,C39-G39))</f>
        <v>0</v>
      </c>
    </row>
    <row r="40" customFormat="false" ht="15" hidden="false" customHeight="false" outlineLevel="0" collapsed="false">
      <c r="B40" s="23" t="s">
        <v>183</v>
      </c>
      <c r="C40" s="24" t="n">
        <f aca="false">SUM(C11:C39)</f>
        <v>15395.48</v>
      </c>
      <c r="F40" s="25" t="n">
        <f aca="false">SUM(F11:F39)</f>
        <v>0.473707076923077</v>
      </c>
      <c r="G40" s="24" t="n">
        <f aca="false">SUM(G11:G39)</f>
        <v>0</v>
      </c>
      <c r="H40" s="24" t="n">
        <f aca="false">SUM(H11:H39)</f>
        <v>0</v>
      </c>
    </row>
    <row r="42" customFormat="false" ht="15" hidden="false" customHeight="false" outlineLevel="0" collapsed="false">
      <c r="B42" s="26" t="s">
        <v>184</v>
      </c>
      <c r="C42" s="16" t="n">
        <f aca="false">C40-'Oct 2026'!D4</f>
        <v>0</v>
      </c>
      <c r="D42" s="27" t="str">
        <f aca="false">IF(C42=0,"Matches the raw log exactly","Off by "&amp;TEXT(C42,"#,##0.00")&amp;" vs. the raw log — check for an uncategorized transaction")</f>
        <v>Matches the raw log exactly</v>
      </c>
      <c r="E42" s="27"/>
      <c r="F42" s="27"/>
      <c r="G42" s="27"/>
      <c r="H42" s="27"/>
    </row>
  </sheetData>
  <mergeCells count="2">
    <mergeCell ref="E2:F2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</cols>
  <sheetData>
    <row r="2" customFormat="false" ht="15" hidden="false" customHeight="false" outlineLevel="0" collapsed="false">
      <c r="A2" s="28" t="s">
        <v>185</v>
      </c>
    </row>
    <row r="3" customFormat="false" ht="15" hidden="false" customHeight="false" outlineLevel="0" collapsed="false">
      <c r="A3" s="6" t="s">
        <v>186</v>
      </c>
      <c r="B3" s="17" t="n">
        <v>35000</v>
      </c>
    </row>
    <row r="4" customFormat="false" ht="15" hidden="false" customHeight="false" outlineLevel="0" collapsed="false">
      <c r="A4" s="6" t="s">
        <v>187</v>
      </c>
      <c r="B4" s="17" t="n">
        <v>0</v>
      </c>
    </row>
    <row r="5" customFormat="false" ht="15" hidden="false" customHeight="false" outlineLevel="0" collapsed="false">
      <c r="A5" s="6" t="s">
        <v>188</v>
      </c>
      <c r="B5" s="29" t="n">
        <f aca="false">MAX(B3-B4,0)</f>
        <v>35000</v>
      </c>
    </row>
    <row r="6" customFormat="false" ht="15" hidden="false" customHeight="false" outlineLevel="0" collapsed="false">
      <c r="A6" s="6" t="s">
        <v>189</v>
      </c>
      <c r="B6" s="30" t="s">
        <v>190</v>
      </c>
    </row>
    <row r="7" customFormat="false" ht="15" hidden="false" customHeight="false" outlineLevel="0" collapsed="false">
      <c r="A7" s="6" t="s">
        <v>191</v>
      </c>
      <c r="B7" s="31" t="n">
        <v>5</v>
      </c>
    </row>
    <row r="8" customFormat="false" ht="15" hidden="false" customHeight="false" outlineLevel="0" collapsed="false">
      <c r="A8" s="6" t="s">
        <v>192</v>
      </c>
      <c r="B8" s="31" t="n">
        <v>2</v>
      </c>
    </row>
    <row r="9" customFormat="false" ht="15" hidden="false" customHeight="false" outlineLevel="0" collapsed="false">
      <c r="A9" s="6" t="s">
        <v>193</v>
      </c>
      <c r="B9" s="29" t="n">
        <f aca="false">IFERROR(B5/B7,0)</f>
        <v>7000</v>
      </c>
    </row>
    <row r="10" customFormat="false" ht="15" hidden="false" customHeight="false" outlineLevel="0" collapsed="false">
      <c r="A10" s="6" t="s">
        <v>194</v>
      </c>
      <c r="B10" s="29" t="n">
        <f aca="false">B9*B8</f>
        <v>14000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4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2.35" hidden="false" customHeight="false" outlineLevel="0" collapsed="false">
      <c r="A1" s="20" t="s">
        <v>195</v>
      </c>
      <c r="B1" s="20" t="s">
        <v>196</v>
      </c>
      <c r="C1" s="20" t="s">
        <v>197</v>
      </c>
      <c r="E1" s="20" t="s">
        <v>198</v>
      </c>
      <c r="F1" s="20" t="s">
        <v>199</v>
      </c>
    </row>
    <row r="2" customFormat="false" ht="15" hidden="false" customHeight="false" outlineLevel="0" collapsed="false">
      <c r="A2" s="0" t="n">
        <v>1</v>
      </c>
      <c r="B2" s="32" t="b">
        <f aca="false">TRUE()</f>
        <v>1</v>
      </c>
      <c r="C2" s="33" t="s">
        <v>200</v>
      </c>
      <c r="E2" s="17" t="n">
        <v>15639</v>
      </c>
      <c r="F2" s="34" t="n">
        <v>46300</v>
      </c>
    </row>
    <row r="3" customFormat="false" ht="15" hidden="false" customHeight="false" outlineLevel="0" collapsed="false">
      <c r="A3" s="0" t="n">
        <v>2</v>
      </c>
      <c r="B3" s="32" t="b">
        <f aca="false">TRUE()</f>
        <v>1</v>
      </c>
      <c r="C3" s="33" t="s">
        <v>201</v>
      </c>
      <c r="E3" s="17" t="n">
        <v>2500</v>
      </c>
      <c r="F3" s="34" t="n">
        <v>46305</v>
      </c>
    </row>
    <row r="4" customFormat="false" ht="15" hidden="false" customHeight="false" outlineLevel="0" collapsed="false">
      <c r="A4" s="0" t="n">
        <v>3</v>
      </c>
      <c r="B4" s="32" t="b">
        <f aca="false">FALSE()</f>
        <v>0</v>
      </c>
      <c r="C4" s="33" t="s">
        <v>135</v>
      </c>
      <c r="E4" s="17" t="n">
        <v>40000</v>
      </c>
      <c r="F4" s="34" t="n">
        <v>46331</v>
      </c>
    </row>
    <row r="5" customFormat="false" ht="15" hidden="false" customHeight="false" outlineLevel="0" collapsed="false">
      <c r="A5" s="0" t="n">
        <v>4</v>
      </c>
      <c r="B5" s="32" t="b">
        <f aca="false">FALSE()</f>
        <v>0</v>
      </c>
      <c r="C5" s="33" t="s">
        <v>202</v>
      </c>
      <c r="E5" s="17" t="n">
        <v>10000</v>
      </c>
    </row>
    <row r="6" customFormat="false" ht="15" hidden="false" customHeight="false" outlineLevel="0" collapsed="false">
      <c r="A6" s="0" t="n">
        <v>5</v>
      </c>
      <c r="B6" s="32" t="b">
        <f aca="false">FALSE()</f>
        <v>0</v>
      </c>
      <c r="C6" s="33" t="s">
        <v>203</v>
      </c>
      <c r="E6" s="17" t="n">
        <v>8000</v>
      </c>
      <c r="F6" s="34" t="n">
        <v>46361</v>
      </c>
    </row>
    <row r="7" customFormat="false" ht="15" hidden="false" customHeight="false" outlineLevel="0" collapsed="false">
      <c r="A7" s="0" t="n">
        <v>6</v>
      </c>
      <c r="B7" s="32" t="b">
        <f aca="false">FALSE()</f>
        <v>0</v>
      </c>
      <c r="C7" s="33" t="s">
        <v>204</v>
      </c>
      <c r="E7" s="17" t="n">
        <v>45000</v>
      </c>
      <c r="F7" s="34" t="n">
        <v>46361</v>
      </c>
    </row>
    <row r="8" customFormat="false" ht="15" hidden="false" customHeight="false" outlineLevel="0" collapsed="false">
      <c r="A8" s="0" t="n">
        <v>7</v>
      </c>
      <c r="B8" s="32" t="b">
        <f aca="false">FALSE()</f>
        <v>0</v>
      </c>
      <c r="C8" s="33" t="s">
        <v>205</v>
      </c>
      <c r="E8" s="17" t="n">
        <v>2500</v>
      </c>
    </row>
    <row r="9" customFormat="false" ht="15" hidden="false" customHeight="false" outlineLevel="0" collapsed="false">
      <c r="A9" s="0" t="n">
        <v>8</v>
      </c>
      <c r="B9" s="32" t="b">
        <f aca="false">FALSE()</f>
        <v>0</v>
      </c>
      <c r="C9" s="33" t="s">
        <v>135</v>
      </c>
      <c r="E9" s="17" t="n">
        <v>40000</v>
      </c>
    </row>
    <row r="10" customFormat="false" ht="15" hidden="false" customHeight="false" outlineLevel="0" collapsed="false">
      <c r="A10" s="0" t="n">
        <v>9</v>
      </c>
      <c r="B10" s="32" t="b">
        <f aca="false">FALSE()</f>
        <v>0</v>
      </c>
      <c r="C10" s="33" t="s">
        <v>206</v>
      </c>
    </row>
    <row r="11" customFormat="false" ht="15" hidden="false" customHeight="false" outlineLevel="0" collapsed="false">
      <c r="A11" s="0" t="n">
        <v>10</v>
      </c>
      <c r="B11" s="32" t="b">
        <f aca="false">FALSE()</f>
        <v>0</v>
      </c>
      <c r="C11" s="33" t="s">
        <v>207</v>
      </c>
    </row>
    <row r="12" customFormat="false" ht="15" hidden="false" customHeight="false" outlineLevel="0" collapsed="false">
      <c r="A12" s="0" t="n">
        <v>11</v>
      </c>
      <c r="B12" s="32" t="b">
        <f aca="false">FALSE()</f>
        <v>0</v>
      </c>
      <c r="C12" s="33" t="s">
        <v>208</v>
      </c>
    </row>
    <row r="13" customFormat="false" ht="15" hidden="false" customHeight="false" outlineLevel="0" collapsed="false">
      <c r="A13" s="0" t="n">
        <v>12</v>
      </c>
      <c r="B13" s="32" t="b">
        <f aca="false">FALSE()</f>
        <v>0</v>
      </c>
      <c r="C13" s="33" t="s">
        <v>209</v>
      </c>
    </row>
    <row r="14" customFormat="false" ht="15" hidden="false" customHeight="false" outlineLevel="0" collapsed="false">
      <c r="A14" s="0" t="n">
        <v>13</v>
      </c>
      <c r="B14" s="32" t="b">
        <f aca="false">FALSE()</f>
        <v>0</v>
      </c>
    </row>
    <row r="15" customFormat="false" ht="15" hidden="false" customHeight="false" outlineLevel="0" collapsed="false">
      <c r="A15" s="0" t="n">
        <v>14</v>
      </c>
      <c r="B15" s="32" t="b">
        <f aca="false">FALSE()</f>
        <v>0</v>
      </c>
    </row>
    <row r="16" customFormat="false" ht="15" hidden="false" customHeight="false" outlineLevel="0" collapsed="false">
      <c r="A16" s="0" t="n">
        <v>15</v>
      </c>
      <c r="B16" s="32" t="b">
        <f aca="false">FALSE()</f>
        <v>0</v>
      </c>
    </row>
    <row r="17" customFormat="false" ht="15" hidden="false" customHeight="false" outlineLevel="0" collapsed="false">
      <c r="A17" s="0" t="n">
        <v>16</v>
      </c>
      <c r="B17" s="32" t="b">
        <f aca="false">FALSE()</f>
        <v>0</v>
      </c>
    </row>
    <row r="18" customFormat="false" ht="15" hidden="false" customHeight="false" outlineLevel="0" collapsed="false">
      <c r="A18" s="0" t="n">
        <v>17</v>
      </c>
      <c r="B18" s="32" t="b">
        <f aca="false">FALSE()</f>
        <v>0</v>
      </c>
      <c r="C18" s="33" t="s">
        <v>210</v>
      </c>
      <c r="E18" s="17" t="n">
        <v>25000</v>
      </c>
      <c r="F18" s="34" t="n">
        <v>46300</v>
      </c>
    </row>
    <row r="19" customFormat="false" ht="15" hidden="false" customHeight="false" outlineLevel="0" collapsed="false">
      <c r="A19" s="0" t="n">
        <v>18</v>
      </c>
      <c r="B19" s="32" t="b">
        <f aca="false">FALSE()</f>
        <v>0</v>
      </c>
      <c r="C19" s="33" t="s">
        <v>211</v>
      </c>
      <c r="E19" s="17" t="n">
        <v>30000</v>
      </c>
    </row>
    <row r="20" customFormat="false" ht="15" hidden="false" customHeight="false" outlineLevel="0" collapsed="false">
      <c r="A20" s="0" t="n">
        <v>19</v>
      </c>
      <c r="B20" s="32" t="b">
        <f aca="false">FALSE()</f>
        <v>0</v>
      </c>
    </row>
    <row r="22" customFormat="false" ht="15" hidden="false" customHeight="false" outlineLevel="0" collapsed="false">
      <c r="B22" s="4" t="s">
        <v>212</v>
      </c>
      <c r="E22" s="18" t="n">
        <f aca="false">SUM(E2:E20)</f>
        <v>218639</v>
      </c>
    </row>
    <row r="23" customFormat="false" ht="15" hidden="false" customHeight="false" outlineLevel="0" collapsed="false">
      <c r="B23" s="35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0"/>
    <col collapsed="false" customWidth="true" hidden="false" outlineLevel="0" max="5" min="4" style="0" width="11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20" t="s">
        <v>33</v>
      </c>
      <c r="B1" s="20" t="s">
        <v>34</v>
      </c>
      <c r="C1" s="20" t="s">
        <v>35</v>
      </c>
      <c r="D1" s="20" t="s">
        <v>36</v>
      </c>
      <c r="E1" s="20" t="s">
        <v>37</v>
      </c>
      <c r="F1" s="20" t="s">
        <v>38</v>
      </c>
    </row>
    <row r="2" customFormat="false" ht="15" hidden="false" customHeight="false" outlineLevel="0" collapsed="false">
      <c r="A2" s="32" t="b">
        <f aca="false">FALSE()</f>
        <v>0</v>
      </c>
      <c r="C2" s="33" t="s">
        <v>214</v>
      </c>
    </row>
    <row r="3" customFormat="false" ht="15" hidden="false" customHeight="false" outlineLevel="0" collapsed="false">
      <c r="A3" s="32" t="b">
        <f aca="false">FALSE()</f>
        <v>0</v>
      </c>
      <c r="C3" s="33" t="s">
        <v>215</v>
      </c>
      <c r="D3" s="16" t="n">
        <v>2000</v>
      </c>
    </row>
    <row r="4" customFormat="false" ht="15" hidden="false" customHeight="false" outlineLevel="0" collapsed="false">
      <c r="A4" s="32" t="b">
        <f aca="false">FALSE()</f>
        <v>0</v>
      </c>
      <c r="C4" s="33" t="s">
        <v>215</v>
      </c>
      <c r="D4" s="16" t="n">
        <v>2000</v>
      </c>
    </row>
    <row r="5" customFormat="false" ht="15" hidden="false" customHeight="false" outlineLevel="0" collapsed="false">
      <c r="A5" s="32" t="b">
        <f aca="false">FALSE()</f>
        <v>0</v>
      </c>
      <c r="C5" s="33" t="s">
        <v>216</v>
      </c>
      <c r="D5" s="16" t="n">
        <v>1000</v>
      </c>
    </row>
    <row r="6" customFormat="false" ht="15" hidden="false" customHeight="false" outlineLevel="0" collapsed="false">
      <c r="A6" s="32" t="b">
        <f aca="false">FALSE()</f>
        <v>0</v>
      </c>
      <c r="C6" s="33" t="s">
        <v>217</v>
      </c>
      <c r="D6" s="16" t="n">
        <v>8500</v>
      </c>
    </row>
    <row r="7" customFormat="false" ht="15" hidden="false" customHeight="false" outlineLevel="0" collapsed="false">
      <c r="A7" s="32" t="b">
        <f aca="false">FALSE()</f>
        <v>0</v>
      </c>
      <c r="C7" s="33" t="s">
        <v>218</v>
      </c>
      <c r="D7" s="16" t="n">
        <v>1000</v>
      </c>
    </row>
    <row r="8" customFormat="false" ht="15" hidden="false" customHeight="false" outlineLevel="0" collapsed="false">
      <c r="A8" s="32" t="b">
        <f aca="false">FALSE()</f>
        <v>0</v>
      </c>
      <c r="C8" s="33" t="s">
        <v>219</v>
      </c>
      <c r="D8" s="16" t="n">
        <v>400</v>
      </c>
    </row>
    <row r="9" customFormat="false" ht="15" hidden="false" customHeight="false" outlineLevel="0" collapsed="false">
      <c r="A9" s="32" t="b">
        <f aca="false">FALSE()</f>
        <v>0</v>
      </c>
      <c r="C9" s="33" t="s">
        <v>220</v>
      </c>
      <c r="D9" s="16" t="n">
        <v>1000</v>
      </c>
    </row>
    <row r="10" customFormat="false" ht="15" hidden="false" customHeight="false" outlineLevel="0" collapsed="false">
      <c r="A10" s="32" t="b">
        <f aca="false">FALSE()</f>
        <v>0</v>
      </c>
      <c r="C10" s="33" t="s">
        <v>221</v>
      </c>
      <c r="D10" s="16" t="n">
        <v>140</v>
      </c>
    </row>
    <row r="11" customFormat="false" ht="15" hidden="false" customHeight="false" outlineLevel="0" collapsed="false">
      <c r="A11" s="32" t="b">
        <f aca="false">FALSE()</f>
        <v>0</v>
      </c>
      <c r="C11" s="33" t="s">
        <v>222</v>
      </c>
      <c r="D11" s="16" t="n">
        <v>2450</v>
      </c>
    </row>
    <row r="12" customFormat="false" ht="15" hidden="false" customHeight="false" outlineLevel="0" collapsed="false">
      <c r="A12" s="32" t="b">
        <f aca="false">FALSE()</f>
        <v>0</v>
      </c>
      <c r="C12" s="33" t="s">
        <v>223</v>
      </c>
      <c r="D12" s="16" t="n">
        <v>179</v>
      </c>
    </row>
    <row r="13" customFormat="false" ht="15" hidden="false" customHeight="false" outlineLevel="0" collapsed="false">
      <c r="A13" s="32" t="b">
        <f aca="false">FALSE()</f>
        <v>0</v>
      </c>
      <c r="C13" s="33" t="s">
        <v>224</v>
      </c>
      <c r="D13" s="16" t="n">
        <v>75</v>
      </c>
    </row>
    <row r="15" customFormat="false" ht="15" hidden="false" customHeight="false" outlineLevel="0" collapsed="false">
      <c r="C15" s="4" t="s">
        <v>225</v>
      </c>
      <c r="D15" s="18" t="n">
        <f aca="false">SUM(D2:D13)</f>
        <v>18744</v>
      </c>
    </row>
    <row r="16" customFormat="false" ht="15" hidden="false" customHeight="false" outlineLevel="0" collapsed="false">
      <c r="C16" s="36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4" min="3" style="0" width="5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5"/>
    <col collapsed="false" customWidth="true" hidden="false" outlineLevel="0" max="8" min="8" style="0" width="8"/>
    <col collapsed="false" customWidth="true" hidden="false" outlineLevel="0" max="10" min="9" style="0" width="12"/>
  </cols>
  <sheetData>
    <row r="1" customFormat="false" ht="17.35" hidden="false" customHeight="false" outlineLevel="0" collapsed="false">
      <c r="A1" s="37" t="s">
        <v>227</v>
      </c>
    </row>
    <row r="4" customFormat="false" ht="15" hidden="false" customHeight="false" outlineLevel="0" collapsed="false">
      <c r="H4" s="38" t="s">
        <v>228</v>
      </c>
    </row>
    <row r="5" customFormat="false" ht="15" hidden="false" customHeight="false" outlineLevel="0" collapsed="false">
      <c r="B5" s="4" t="s">
        <v>229</v>
      </c>
      <c r="E5" s="39" t="n">
        <f aca="false">IFERROR(F10/B10,0)</f>
        <v>0</v>
      </c>
      <c r="I5" s="33" t="s">
        <v>230</v>
      </c>
      <c r="J5" s="33" t="s">
        <v>231</v>
      </c>
    </row>
    <row r="10" customFormat="false" ht="15" hidden="false" customHeight="false" outlineLevel="0" collapsed="false">
      <c r="B10" s="17" t="n">
        <v>35000</v>
      </c>
      <c r="F10" s="0" t="n">
        <v>0</v>
      </c>
    </row>
    <row r="11" customFormat="false" ht="15" hidden="false" customHeight="false" outlineLevel="0" collapsed="false">
      <c r="B11" s="0" t="s">
        <v>232</v>
      </c>
      <c r="D11" s="34" t="n">
        <v>46331</v>
      </c>
      <c r="F11" s="16" t="n">
        <f aca="false">B10-F10</f>
        <v>35000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2026-10-13T19:36:19Z</dcterms:created>
  <dc:creator>openpyxl</dc:creator>
  <dc:description/>
  <dc:language>en-US</dc:language>
  <cp:lastModifiedBy/>
  <dcterms:modified xsi:type="dcterms:W3CDTF">2026-10-13T19:36:19Z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